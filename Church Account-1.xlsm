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3.xml" ContentType="application/vnd.openxmlformats-officedocument.spreadsheetml.table+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8.xml" ContentType="application/vnd.openxmlformats-officedocument.spreadsheetml.table+xml"/>
  <Override PartName="/xl/drawings/drawing6.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ANS ANTWI\Documents\"/>
    </mc:Choice>
  </mc:AlternateContent>
  <workbookProtection workbookAlgorithmName="SHA-512" workbookHashValue="aYERrwU34B4PpOTzXYMRhlj2PONs96F2G4ffVC5eqwbZ2kxzLL85zZX9PzBPRdzhDoYtqKDYNbBD79ThwpjWmQ==" workbookSaltValue="ke1Lq7VUjLEOIYacidbvow==" workbookSpinCount="100000" lockStructure="1"/>
  <bookViews>
    <workbookView xWindow="-120" yWindow="-120" windowWidth="20730" windowHeight="11160" tabRatio="842"/>
  </bookViews>
  <sheets>
    <sheet name="WEEKLY SUMMARY" sheetId="1" r:id="rId1"/>
    <sheet name="INCOME" sheetId="2" r:id="rId2"/>
    <sheet name="EXPENDITURE" sheetId="3" r:id="rId3"/>
    <sheet name="NEW ACCOUNT" sheetId="11" r:id="rId4"/>
    <sheet name="RECEIPT NUMBERS" sheetId="6" r:id="rId5"/>
    <sheet name="NEW WEEKLY" sheetId="14" r:id="rId6"/>
    <sheet name="HERITAGE" sheetId="5" r:id="rId7"/>
    <sheet name="MANUAL" sheetId="8" r:id="rId8"/>
    <sheet name="PRINT WEEKLY" sheetId="7" state="hidden" r:id="rId9"/>
    <sheet name="OLD -INCOME &amp; EXPENDITURE" sheetId="4" state="hidden" r:id="rId10"/>
    <sheet name="GENERAL ACCOUNT" sheetId="9" state="hidden" r:id="rId11"/>
  </sheets>
  <definedNames>
    <definedName name="_xlnm._FilterDatabase" localSheetId="2" hidden="1">EXPENDITURE!$A$1:$AK$105</definedName>
    <definedName name="_xlnm._FilterDatabase" localSheetId="1" hidden="1">INCOME!$A$1:$Y$105</definedName>
    <definedName name="_xlnm._FilterDatabase" localSheetId="3" hidden="1">'NEW ACCOUNT'!$B$4:$D$78</definedName>
    <definedName name="_xlnm._FilterDatabase" localSheetId="5" hidden="1">'NEW WEEKLY'!$B$5:$D$70</definedName>
    <definedName name="EXPENDITURE" localSheetId="5">WeeklyExpenditure[#All]</definedName>
    <definedName name="EXPENDITURE">WeeklyExpenditure[#All]</definedName>
    <definedName name="INCOME" localSheetId="5">WeeklyIncome[]</definedName>
    <definedName name="INCOME">WeeklyIncome[]</definedName>
    <definedName name="_xlnm.Print_Area" localSheetId="3">'NEW ACCOUNT'!$A$1:$D$144</definedName>
    <definedName name="_xlnm.Print_Area" localSheetId="5">'NEW WEEKLY'!$A$5:$D$126</definedName>
    <definedName name="_xlnm.Print_Titles" localSheetId="3">'NEW ACCOUNT'!$4:$4</definedName>
    <definedName name="_xlnm.Print_Titles" localSheetId="5">'NEW WEEKLY'!$5:$5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 i="1" l="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A64" i="14"/>
  <c r="A73" i="11"/>
  <c r="D4" i="14"/>
  <c r="B4" i="14"/>
  <c r="B4" i="7"/>
  <c r="D4" i="7"/>
  <c r="A72" i="11"/>
  <c r="A32" i="11"/>
  <c r="A31" i="11"/>
  <c r="V106" i="2"/>
  <c r="D32" i="11" s="1"/>
  <c r="A66" i="14"/>
  <c r="A27" i="14"/>
  <c r="A33" i="11"/>
  <c r="R106" i="2"/>
  <c r="C66" i="14" s="1"/>
  <c r="A10" i="14"/>
  <c r="A11" i="14"/>
  <c r="B106" i="1"/>
  <c r="C64" i="14" l="1"/>
  <c r="C72" i="11"/>
  <c r="C73" i="11"/>
  <c r="D27" i="14"/>
  <c r="D33" i="11"/>
  <c r="A117" i="14" l="1"/>
  <c r="A116" i="14"/>
  <c r="A115" i="14"/>
  <c r="A114" i="14"/>
  <c r="A113" i="14"/>
  <c r="A112" i="14"/>
  <c r="A111" i="14"/>
  <c r="A110" i="14"/>
  <c r="A109" i="14"/>
  <c r="A108" i="14"/>
  <c r="A107" i="14"/>
  <c r="A106" i="14"/>
  <c r="A105" i="14"/>
  <c r="A104" i="14"/>
  <c r="A103" i="14"/>
  <c r="A102" i="14"/>
  <c r="A101" i="14"/>
  <c r="A100" i="14"/>
  <c r="A99" i="14"/>
  <c r="A97" i="14"/>
  <c r="A96" i="14"/>
  <c r="A95" i="14"/>
  <c r="A94" i="14"/>
  <c r="A93" i="14"/>
  <c r="A92" i="14"/>
  <c r="A91" i="14"/>
  <c r="A90" i="14"/>
  <c r="A89" i="14"/>
  <c r="A88" i="14"/>
  <c r="A87" i="14"/>
  <c r="A86" i="14"/>
  <c r="A85" i="14"/>
  <c r="A84" i="14"/>
  <c r="A83" i="14"/>
  <c r="A82" i="14"/>
  <c r="A69" i="14"/>
  <c r="A68" i="14"/>
  <c r="A67" i="14"/>
  <c r="A65" i="14"/>
  <c r="A63" i="14"/>
  <c r="A62" i="14"/>
  <c r="A61" i="14"/>
  <c r="A60" i="14"/>
  <c r="A59" i="14"/>
  <c r="A58" i="14"/>
  <c r="A57" i="14"/>
  <c r="A56" i="14"/>
  <c r="A55" i="14"/>
  <c r="A54" i="14"/>
  <c r="A53" i="14"/>
  <c r="A52" i="14"/>
  <c r="A51" i="14"/>
  <c r="A50" i="14"/>
  <c r="A49" i="14"/>
  <c r="C47" i="14"/>
  <c r="A29" i="14"/>
  <c r="A28" i="14"/>
  <c r="A26" i="14"/>
  <c r="A25" i="14"/>
  <c r="A24" i="14"/>
  <c r="A23" i="14"/>
  <c r="A22" i="14"/>
  <c r="A21" i="14"/>
  <c r="A20" i="14"/>
  <c r="A19" i="14"/>
  <c r="A18" i="14"/>
  <c r="A17" i="14"/>
  <c r="A16" i="14"/>
  <c r="A15" i="14"/>
  <c r="A14" i="14"/>
  <c r="A13" i="14"/>
  <c r="A12" i="14"/>
  <c r="A71" i="11" l="1"/>
  <c r="A121" i="11"/>
  <c r="AH106" i="3"/>
  <c r="N106" i="2"/>
  <c r="A26" i="11"/>
  <c r="C121" i="11" l="1"/>
  <c r="C113" i="14"/>
  <c r="C71" i="11"/>
  <c r="C63" i="14"/>
  <c r="D21" i="14"/>
  <c r="D26" i="11"/>
  <c r="A116" i="11"/>
  <c r="A119" i="11" l="1"/>
  <c r="A118" i="11"/>
  <c r="C54" i="11"/>
  <c r="A75" i="11"/>
  <c r="A122" i="11"/>
  <c r="C106" i="3"/>
  <c r="C114" i="14" s="1"/>
  <c r="C122" i="11" l="1"/>
  <c r="A96" i="11"/>
  <c r="A125" i="11"/>
  <c r="A124" i="11"/>
  <c r="A123" i="11"/>
  <c r="A120" i="11"/>
  <c r="A117" i="11"/>
  <c r="A115" i="11"/>
  <c r="A114" i="11"/>
  <c r="A113" i="11"/>
  <c r="A112" i="11"/>
  <c r="A111" i="11"/>
  <c r="A110" i="11"/>
  <c r="A109" i="11"/>
  <c r="A108" i="11"/>
  <c r="A107" i="11"/>
  <c r="A105" i="11"/>
  <c r="A104" i="11"/>
  <c r="A103" i="11"/>
  <c r="A102" i="11"/>
  <c r="A101" i="11"/>
  <c r="A100" i="11"/>
  <c r="A99" i="11"/>
  <c r="A98" i="11"/>
  <c r="A97" i="11"/>
  <c r="A95" i="11"/>
  <c r="A94" i="11"/>
  <c r="A93" i="11"/>
  <c r="A92" i="11"/>
  <c r="A91" i="11"/>
  <c r="A90" i="11"/>
  <c r="A77" i="11"/>
  <c r="A76" i="11"/>
  <c r="A74" i="11"/>
  <c r="A70" i="11"/>
  <c r="A69" i="11"/>
  <c r="A68" i="11"/>
  <c r="A67" i="11"/>
  <c r="A66" i="11"/>
  <c r="A65" i="11"/>
  <c r="A64" i="11"/>
  <c r="A63" i="11"/>
  <c r="A62" i="11"/>
  <c r="A61" i="11"/>
  <c r="A60" i="11"/>
  <c r="A59" i="11"/>
  <c r="A58" i="11"/>
  <c r="A57" i="11"/>
  <c r="A35" i="11"/>
  <c r="A34" i="11"/>
  <c r="A30" i="11"/>
  <c r="A29" i="11"/>
  <c r="A28" i="11"/>
  <c r="A27" i="11"/>
  <c r="A25" i="11"/>
  <c r="A24" i="11"/>
  <c r="A23" i="11"/>
  <c r="A22" i="11"/>
  <c r="A21" i="11"/>
  <c r="A20" i="11"/>
  <c r="A19" i="11"/>
  <c r="A18" i="11"/>
  <c r="A17" i="11"/>
  <c r="A16" i="11"/>
  <c r="A15" i="11"/>
  <c r="D141" i="11"/>
  <c r="D138" i="11"/>
  <c r="D6" i="11"/>
  <c r="C53" i="11" s="1"/>
  <c r="D142" i="11" l="1"/>
  <c r="A53" i="7"/>
  <c r="A60" i="7"/>
  <c r="A66" i="7"/>
  <c r="A65" i="7"/>
  <c r="A64" i="7"/>
  <c r="A63" i="7"/>
  <c r="A62" i="7"/>
  <c r="A61" i="7"/>
  <c r="A59" i="7"/>
  <c r="A58" i="7"/>
  <c r="A57" i="7"/>
  <c r="A56" i="7"/>
  <c r="A55" i="7"/>
  <c r="A54" i="7"/>
  <c r="A52" i="7"/>
  <c r="A51" i="7"/>
  <c r="A50" i="7"/>
  <c r="A108" i="7" l="1"/>
  <c r="A107" i="7"/>
  <c r="A106" i="7"/>
  <c r="A105" i="7"/>
  <c r="A104" i="7"/>
  <c r="A102" i="7"/>
  <c r="A101" i="7"/>
  <c r="A100" i="7"/>
  <c r="A99" i="7"/>
  <c r="A98" i="7"/>
  <c r="A97" i="7"/>
  <c r="A96" i="7"/>
  <c r="A95" i="7"/>
  <c r="A94" i="7"/>
  <c r="A92" i="7"/>
  <c r="A91" i="7"/>
  <c r="A90" i="7"/>
  <c r="A89" i="7"/>
  <c r="A88" i="7"/>
  <c r="A87" i="7"/>
  <c r="A86" i="7"/>
  <c r="A85" i="7"/>
  <c r="A84" i="7"/>
  <c r="A83" i="7"/>
  <c r="A82" i="7"/>
  <c r="A81" i="7"/>
  <c r="A80" i="7"/>
  <c r="A79" i="7"/>
  <c r="A78" i="7"/>
  <c r="A77" i="7"/>
  <c r="A45" i="7"/>
  <c r="A38" i="7"/>
  <c r="A28" i="7"/>
  <c r="A27" i="7"/>
  <c r="A26" i="7"/>
  <c r="A25" i="7"/>
  <c r="A24" i="7"/>
  <c r="A23" i="7"/>
  <c r="A22" i="7"/>
  <c r="A21" i="7"/>
  <c r="A20" i="7"/>
  <c r="A19" i="7"/>
  <c r="A18" i="7"/>
  <c r="A17" i="7"/>
  <c r="A16" i="7"/>
  <c r="A15" i="7"/>
  <c r="A14" i="7"/>
  <c r="A13" i="7"/>
  <c r="A12" i="7"/>
  <c r="A11" i="7"/>
  <c r="A81" i="4" l="1"/>
  <c r="AG106" i="3"/>
  <c r="C115" i="14" s="1"/>
  <c r="C106" i="7" l="1"/>
  <c r="C123" i="11"/>
  <c r="C81" i="4"/>
  <c r="A28" i="9"/>
  <c r="A30" i="4"/>
  <c r="A31" i="4"/>
  <c r="W106" i="2"/>
  <c r="D25" i="14" l="1"/>
  <c r="C62" i="14"/>
  <c r="C70" i="11"/>
  <c r="D30" i="11"/>
  <c r="D25" i="7"/>
  <c r="C63" i="7"/>
  <c r="D28" i="9"/>
  <c r="D30" i="4"/>
  <c r="AE106" i="3"/>
  <c r="C112" i="14" s="1"/>
  <c r="A80" i="4"/>
  <c r="AF106" i="3"/>
  <c r="C116" i="11" l="1"/>
  <c r="C108" i="14"/>
  <c r="C120" i="11"/>
  <c r="C80" i="4"/>
  <c r="C105" i="7"/>
  <c r="A71" i="9"/>
  <c r="A71" i="4"/>
  <c r="U106" i="3"/>
  <c r="C101" i="14" s="1"/>
  <c r="C109" i="11" l="1"/>
  <c r="C71" i="9"/>
  <c r="C96" i="7"/>
  <c r="C71" i="4"/>
  <c r="A32" i="4" l="1"/>
  <c r="J106" i="2"/>
  <c r="D28" i="14" l="1"/>
  <c r="C68" i="14"/>
  <c r="C76" i="11"/>
  <c r="D34" i="11"/>
  <c r="D27" i="7"/>
  <c r="C65" i="7"/>
  <c r="D32" i="4"/>
  <c r="D29" i="9"/>
  <c r="A32" i="9" l="1"/>
  <c r="O106" i="3"/>
  <c r="C94" i="14" s="1"/>
  <c r="C89" i="7" l="1"/>
  <c r="C102" i="11"/>
  <c r="Q106" i="2"/>
  <c r="D31" i="11" s="1"/>
  <c r="C65" i="14" l="1"/>
  <c r="D26" i="14"/>
  <c r="C64" i="7"/>
  <c r="C74" i="11"/>
  <c r="D26" i="7"/>
  <c r="D31" i="4"/>
  <c r="D32" i="9"/>
  <c r="D90" i="9" l="1"/>
  <c r="D92" i="4"/>
  <c r="B12" i="5"/>
  <c r="C49" i="7" l="1"/>
  <c r="C56" i="11"/>
  <c r="D14" i="11"/>
  <c r="D15" i="4"/>
  <c r="D10" i="7"/>
  <c r="D15" i="9"/>
  <c r="D87" i="9" l="1"/>
  <c r="A81" i="9"/>
  <c r="A80" i="9"/>
  <c r="A79" i="9"/>
  <c r="A77" i="9"/>
  <c r="A76" i="9"/>
  <c r="A75" i="9"/>
  <c r="A74" i="9"/>
  <c r="A73" i="9"/>
  <c r="A72" i="9"/>
  <c r="A70" i="9"/>
  <c r="A69" i="9"/>
  <c r="A67" i="9"/>
  <c r="A66" i="9"/>
  <c r="A65" i="9"/>
  <c r="A64" i="9"/>
  <c r="A63" i="9"/>
  <c r="A62" i="9"/>
  <c r="A61" i="9"/>
  <c r="A60" i="9"/>
  <c r="A59" i="9"/>
  <c r="A58" i="9"/>
  <c r="A57" i="9"/>
  <c r="A56" i="9"/>
  <c r="A55" i="9"/>
  <c r="A54" i="9"/>
  <c r="A53" i="9"/>
  <c r="A52" i="9"/>
  <c r="A50" i="9"/>
  <c r="A43" i="9"/>
  <c r="A33" i="9"/>
  <c r="A31" i="9"/>
  <c r="A30" i="9"/>
  <c r="A27" i="9"/>
  <c r="A26" i="9"/>
  <c r="A25" i="9"/>
  <c r="A24" i="9"/>
  <c r="A23" i="9"/>
  <c r="A22" i="9"/>
  <c r="A21" i="9"/>
  <c r="A20" i="9"/>
  <c r="A19" i="9"/>
  <c r="A18" i="9"/>
  <c r="A17" i="9"/>
  <c r="A16" i="9"/>
  <c r="C106" i="1" l="1"/>
  <c r="D106" i="1"/>
  <c r="E106" i="1"/>
  <c r="F106" i="1"/>
  <c r="G106" i="1"/>
  <c r="H106" i="1"/>
  <c r="I106" i="1"/>
  <c r="J106" i="1"/>
  <c r="B96" i="2" l="1"/>
  <c r="C96" i="2"/>
  <c r="D96" i="2"/>
  <c r="E96" i="2"/>
  <c r="F96" i="2"/>
  <c r="G96" i="2"/>
  <c r="K96" i="2"/>
  <c r="U96" i="2"/>
  <c r="B97" i="2"/>
  <c r="C97" i="2"/>
  <c r="D97" i="2"/>
  <c r="E97" i="2"/>
  <c r="F97" i="2"/>
  <c r="G97" i="2"/>
  <c r="K97" i="2"/>
  <c r="U97" i="2"/>
  <c r="B98" i="2"/>
  <c r="C98" i="2"/>
  <c r="D98" i="2"/>
  <c r="E98" i="2"/>
  <c r="F98" i="2"/>
  <c r="G98" i="2"/>
  <c r="K98" i="2"/>
  <c r="U98" i="2"/>
  <c r="B99" i="2"/>
  <c r="C99" i="2"/>
  <c r="D99" i="2"/>
  <c r="E99" i="2"/>
  <c r="F99" i="2"/>
  <c r="G99" i="2"/>
  <c r="K99" i="2"/>
  <c r="U99" i="2"/>
  <c r="B100" i="2"/>
  <c r="C100" i="2"/>
  <c r="D100" i="2"/>
  <c r="E100" i="2"/>
  <c r="F100" i="2"/>
  <c r="G100" i="2"/>
  <c r="K100" i="2"/>
  <c r="U100" i="2"/>
  <c r="B101" i="2"/>
  <c r="C101" i="2"/>
  <c r="D101" i="2"/>
  <c r="E101" i="2"/>
  <c r="F101" i="2"/>
  <c r="G101" i="2"/>
  <c r="K101" i="2"/>
  <c r="U101" i="2"/>
  <c r="B102" i="2"/>
  <c r="C102" i="2"/>
  <c r="D102" i="2"/>
  <c r="E102" i="2"/>
  <c r="F102" i="2"/>
  <c r="G102" i="2"/>
  <c r="K102" i="2"/>
  <c r="U102" i="2"/>
  <c r="B103" i="2"/>
  <c r="C103" i="2"/>
  <c r="D103" i="2"/>
  <c r="E103" i="2"/>
  <c r="F103" i="2"/>
  <c r="G103" i="2"/>
  <c r="K103" i="2"/>
  <c r="U103" i="2"/>
  <c r="B104" i="2"/>
  <c r="C104" i="2"/>
  <c r="D104" i="2"/>
  <c r="E104" i="2"/>
  <c r="F104" i="2"/>
  <c r="G104" i="2"/>
  <c r="K104" i="2"/>
  <c r="U104" i="2"/>
  <c r="B93" i="2"/>
  <c r="C93" i="2"/>
  <c r="D93" i="2"/>
  <c r="E93" i="2"/>
  <c r="F93" i="2"/>
  <c r="G93" i="2"/>
  <c r="K93" i="2"/>
  <c r="U93" i="2"/>
  <c r="B94" i="2"/>
  <c r="C94" i="2"/>
  <c r="D94" i="2"/>
  <c r="E94" i="2"/>
  <c r="F94" i="2"/>
  <c r="G94" i="2"/>
  <c r="K94" i="2"/>
  <c r="U94" i="2"/>
  <c r="B95" i="2"/>
  <c r="C95" i="2"/>
  <c r="D95" i="2"/>
  <c r="E95" i="2"/>
  <c r="F95" i="2"/>
  <c r="G95" i="2"/>
  <c r="K95" i="2"/>
  <c r="U95" i="2"/>
  <c r="B105" i="2"/>
  <c r="C105" i="2"/>
  <c r="D105" i="2"/>
  <c r="E105" i="2"/>
  <c r="F105" i="2"/>
  <c r="G105" i="2"/>
  <c r="K105" i="2"/>
  <c r="U105" i="2"/>
  <c r="Y101" i="2" l="1"/>
  <c r="Y99" i="2"/>
  <c r="Y97" i="2"/>
  <c r="Y102" i="2"/>
  <c r="Y100" i="2"/>
  <c r="Y98" i="2"/>
  <c r="Y96" i="2"/>
  <c r="Y103" i="2"/>
  <c r="Y94" i="2"/>
  <c r="Y104" i="2"/>
  <c r="Y93" i="2"/>
  <c r="Y95" i="2"/>
  <c r="Y105" i="2"/>
  <c r="AD106" i="3"/>
  <c r="C116" i="14" s="1"/>
  <c r="A82" i="4"/>
  <c r="C124" i="11" l="1"/>
  <c r="C107" i="7"/>
  <c r="C82" i="4"/>
  <c r="C80" i="9"/>
  <c r="A75" i="4"/>
  <c r="AK90" i="3"/>
  <c r="AC106" i="3"/>
  <c r="C105" i="14" s="1"/>
  <c r="C113" i="11" l="1"/>
  <c r="C100" i="7"/>
  <c r="C75" i="9"/>
  <c r="C75" i="4"/>
  <c r="A50" i="4"/>
  <c r="A43" i="4"/>
  <c r="A64" i="4"/>
  <c r="AB106" i="3"/>
  <c r="C111" i="14" s="1"/>
  <c r="AA106" i="3"/>
  <c r="C110" i="14" s="1"/>
  <c r="C119" i="11" l="1"/>
  <c r="C118" i="11"/>
  <c r="C38" i="7"/>
  <c r="B50" i="9"/>
  <c r="C45" i="7"/>
  <c r="B43" i="9"/>
  <c r="B43" i="4"/>
  <c r="B50" i="4"/>
  <c r="AK100" i="3"/>
  <c r="AK101" i="3"/>
  <c r="AK102" i="3"/>
  <c r="AK103" i="3"/>
  <c r="AK104" i="3"/>
  <c r="AK105" i="3"/>
  <c r="AK86" i="3"/>
  <c r="AK87" i="3"/>
  <c r="AK88" i="3"/>
  <c r="AK89" i="3"/>
  <c r="AK91" i="3"/>
  <c r="AK92" i="3"/>
  <c r="AK93" i="3"/>
  <c r="AK94" i="3"/>
  <c r="AK95" i="3"/>
  <c r="AK96" i="3"/>
  <c r="AK97" i="3"/>
  <c r="AK98" i="3"/>
  <c r="AK99" i="3"/>
  <c r="A29" i="4" l="1"/>
  <c r="T106" i="2"/>
  <c r="C61" i="14" l="1"/>
  <c r="D24" i="14"/>
  <c r="C62" i="7"/>
  <c r="D29" i="11"/>
  <c r="C69" i="11"/>
  <c r="D31" i="9"/>
  <c r="D24" i="7"/>
  <c r="D29" i="4"/>
  <c r="A28" i="4"/>
  <c r="X106" i="2" l="1"/>
  <c r="D9" i="14" l="1"/>
  <c r="D13" i="11"/>
  <c r="C48" i="14"/>
  <c r="C55" i="11"/>
  <c r="D9" i="7"/>
  <c r="C48" i="7"/>
  <c r="D14" i="9"/>
  <c r="D14" i="4"/>
  <c r="AK77" i="3"/>
  <c r="AK78" i="3"/>
  <c r="AK79" i="3"/>
  <c r="AK80" i="3"/>
  <c r="AK81" i="3"/>
  <c r="AK82" i="3"/>
  <c r="AK83" i="3"/>
  <c r="AK84" i="3"/>
  <c r="AK85" i="3"/>
  <c r="AK56" i="3"/>
  <c r="AK57" i="3"/>
  <c r="AK58" i="3"/>
  <c r="AK59" i="3"/>
  <c r="AK60" i="3"/>
  <c r="AK61" i="3"/>
  <c r="AK62" i="3"/>
  <c r="AK63" i="3"/>
  <c r="AK64" i="3"/>
  <c r="AK65" i="3"/>
  <c r="AK66" i="3"/>
  <c r="AK67" i="3"/>
  <c r="AK68" i="3"/>
  <c r="AK69" i="3"/>
  <c r="AK70" i="3"/>
  <c r="AK71" i="3"/>
  <c r="AK72" i="3"/>
  <c r="AK73" i="3"/>
  <c r="AK74" i="3"/>
  <c r="AK75" i="3"/>
  <c r="AK76" i="3"/>
  <c r="C65" i="2" l="1"/>
  <c r="A3" i="2" l="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B55" i="2"/>
  <c r="C55" i="2"/>
  <c r="D55" i="2"/>
  <c r="E55" i="2"/>
  <c r="F55" i="2"/>
  <c r="G55" i="2"/>
  <c r="B56" i="2"/>
  <c r="C56" i="2"/>
  <c r="D56" i="2"/>
  <c r="E56" i="2"/>
  <c r="F56" i="2"/>
  <c r="G56" i="2"/>
  <c r="B57" i="2"/>
  <c r="C57" i="2"/>
  <c r="D57" i="2"/>
  <c r="E57" i="2"/>
  <c r="F57" i="2"/>
  <c r="G57" i="2"/>
  <c r="B58" i="2"/>
  <c r="C58" i="2"/>
  <c r="D58" i="2"/>
  <c r="E58" i="2"/>
  <c r="F58" i="2"/>
  <c r="G58" i="2"/>
  <c r="B59" i="2"/>
  <c r="C59" i="2"/>
  <c r="D59" i="2"/>
  <c r="E59" i="2"/>
  <c r="F59" i="2"/>
  <c r="G59" i="2"/>
  <c r="B60" i="2"/>
  <c r="C60" i="2"/>
  <c r="D60" i="2"/>
  <c r="E60" i="2"/>
  <c r="F60" i="2"/>
  <c r="G60" i="2"/>
  <c r="B61" i="2"/>
  <c r="C61" i="2"/>
  <c r="D61" i="2"/>
  <c r="E61" i="2"/>
  <c r="F61" i="2"/>
  <c r="G61" i="2"/>
  <c r="B62" i="2"/>
  <c r="C62" i="2"/>
  <c r="D62" i="2"/>
  <c r="E62" i="2"/>
  <c r="F62" i="2"/>
  <c r="G62" i="2"/>
  <c r="B63" i="2"/>
  <c r="C63" i="2"/>
  <c r="D63" i="2"/>
  <c r="E63" i="2"/>
  <c r="F63" i="2"/>
  <c r="G63" i="2"/>
  <c r="B64" i="2"/>
  <c r="C64" i="2"/>
  <c r="D64" i="2"/>
  <c r="E64" i="2"/>
  <c r="F64" i="2"/>
  <c r="G64" i="2"/>
  <c r="B65" i="2"/>
  <c r="D65" i="2"/>
  <c r="E65" i="2"/>
  <c r="F65" i="2"/>
  <c r="G65" i="2"/>
  <c r="B66" i="2"/>
  <c r="C66" i="2"/>
  <c r="D66" i="2"/>
  <c r="E66" i="2"/>
  <c r="F66" i="2"/>
  <c r="G66" i="2"/>
  <c r="B67" i="2"/>
  <c r="C67" i="2"/>
  <c r="D67" i="2"/>
  <c r="E67" i="2"/>
  <c r="F67" i="2"/>
  <c r="G67" i="2"/>
  <c r="B68" i="2"/>
  <c r="C68" i="2"/>
  <c r="D68" i="2"/>
  <c r="E68" i="2"/>
  <c r="F68" i="2"/>
  <c r="G68" i="2"/>
  <c r="B69" i="2"/>
  <c r="C69" i="2"/>
  <c r="D69" i="2"/>
  <c r="E69" i="2"/>
  <c r="F69" i="2"/>
  <c r="G69" i="2"/>
  <c r="B70" i="2"/>
  <c r="C70" i="2"/>
  <c r="D70" i="2"/>
  <c r="E70" i="2"/>
  <c r="F70" i="2"/>
  <c r="G70" i="2"/>
  <c r="B71" i="2"/>
  <c r="C71" i="2"/>
  <c r="D71" i="2"/>
  <c r="E71" i="2"/>
  <c r="F71" i="2"/>
  <c r="G71" i="2"/>
  <c r="B72" i="2"/>
  <c r="C72" i="2"/>
  <c r="D72" i="2"/>
  <c r="E72" i="2"/>
  <c r="F72" i="2"/>
  <c r="G72" i="2"/>
  <c r="B73" i="2"/>
  <c r="C73" i="2"/>
  <c r="D73" i="2"/>
  <c r="E73" i="2"/>
  <c r="F73" i="2"/>
  <c r="G73" i="2"/>
  <c r="B74" i="2"/>
  <c r="C74" i="2"/>
  <c r="D74" i="2"/>
  <c r="E74" i="2"/>
  <c r="F74" i="2"/>
  <c r="G74" i="2"/>
  <c r="B75" i="2"/>
  <c r="C75" i="2"/>
  <c r="D75" i="2"/>
  <c r="E75" i="2"/>
  <c r="F75" i="2"/>
  <c r="G75" i="2"/>
  <c r="B76" i="2"/>
  <c r="C76" i="2"/>
  <c r="D76" i="2"/>
  <c r="E76" i="2"/>
  <c r="F76" i="2"/>
  <c r="G76" i="2"/>
  <c r="B77" i="2"/>
  <c r="C77" i="2"/>
  <c r="D77" i="2"/>
  <c r="E77" i="2"/>
  <c r="F77" i="2"/>
  <c r="G77" i="2"/>
  <c r="B78" i="2"/>
  <c r="C78" i="2"/>
  <c r="D78" i="2"/>
  <c r="E78" i="2"/>
  <c r="F78" i="2"/>
  <c r="G78" i="2"/>
  <c r="B79" i="2"/>
  <c r="C79" i="2"/>
  <c r="D79" i="2"/>
  <c r="E79" i="2"/>
  <c r="F79" i="2"/>
  <c r="G79" i="2"/>
  <c r="B80" i="2"/>
  <c r="C80" i="2"/>
  <c r="D80" i="2"/>
  <c r="E80" i="2"/>
  <c r="F80" i="2"/>
  <c r="G80" i="2"/>
  <c r="B81" i="2"/>
  <c r="C81" i="2"/>
  <c r="D81" i="2"/>
  <c r="E81" i="2"/>
  <c r="F81" i="2"/>
  <c r="G81" i="2"/>
  <c r="B82" i="2"/>
  <c r="C82" i="2"/>
  <c r="D82" i="2"/>
  <c r="E82" i="2"/>
  <c r="F82" i="2"/>
  <c r="G82" i="2"/>
  <c r="B83" i="2"/>
  <c r="C83" i="2"/>
  <c r="D83" i="2"/>
  <c r="E83" i="2"/>
  <c r="F83" i="2"/>
  <c r="G83" i="2"/>
  <c r="B84" i="2"/>
  <c r="C84" i="2"/>
  <c r="D84" i="2"/>
  <c r="E84" i="2"/>
  <c r="F84" i="2"/>
  <c r="G84" i="2"/>
  <c r="B85" i="2"/>
  <c r="C85" i="2"/>
  <c r="D85" i="2"/>
  <c r="E85" i="2"/>
  <c r="F85" i="2"/>
  <c r="G85" i="2"/>
  <c r="B86" i="2"/>
  <c r="C86" i="2"/>
  <c r="D86" i="2"/>
  <c r="E86" i="2"/>
  <c r="F86" i="2"/>
  <c r="G86" i="2"/>
  <c r="B87" i="2"/>
  <c r="C87" i="2"/>
  <c r="D87" i="2"/>
  <c r="E87" i="2"/>
  <c r="F87" i="2"/>
  <c r="G87" i="2"/>
  <c r="B88" i="2"/>
  <c r="C88" i="2"/>
  <c r="D88" i="2"/>
  <c r="E88" i="2"/>
  <c r="F88" i="2"/>
  <c r="G88" i="2"/>
  <c r="B89" i="2"/>
  <c r="C89" i="2"/>
  <c r="D89" i="2"/>
  <c r="E89" i="2"/>
  <c r="F89" i="2"/>
  <c r="G89" i="2"/>
  <c r="B90" i="2"/>
  <c r="C90" i="2"/>
  <c r="D90" i="2"/>
  <c r="E90" i="2"/>
  <c r="F90" i="2"/>
  <c r="G90" i="2"/>
  <c r="B91" i="2"/>
  <c r="C91" i="2"/>
  <c r="D91" i="2"/>
  <c r="E91" i="2"/>
  <c r="F91" i="2"/>
  <c r="G91" i="2"/>
  <c r="B92" i="2"/>
  <c r="C92" i="2"/>
  <c r="D92" i="2"/>
  <c r="E92" i="2"/>
  <c r="F92" i="2"/>
  <c r="G92" i="2"/>
  <c r="S106"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2" i="2"/>
  <c r="B3" i="2"/>
  <c r="C3" i="2"/>
  <c r="D3" i="2"/>
  <c r="E3" i="2"/>
  <c r="F3" i="2"/>
  <c r="G3" i="2"/>
  <c r="B4" i="2"/>
  <c r="C4" i="2"/>
  <c r="D4" i="2"/>
  <c r="E4" i="2"/>
  <c r="F4" i="2"/>
  <c r="G4" i="2"/>
  <c r="B5" i="2"/>
  <c r="C5" i="2"/>
  <c r="D5" i="2"/>
  <c r="E5" i="2"/>
  <c r="F5" i="2"/>
  <c r="G5" i="2"/>
  <c r="B6" i="2"/>
  <c r="C6" i="2"/>
  <c r="D6" i="2"/>
  <c r="E6" i="2"/>
  <c r="F6" i="2"/>
  <c r="G6" i="2"/>
  <c r="B7" i="2"/>
  <c r="C7" i="2"/>
  <c r="D7" i="2"/>
  <c r="E7" i="2"/>
  <c r="F7" i="2"/>
  <c r="G7" i="2"/>
  <c r="B8" i="2"/>
  <c r="C8" i="2"/>
  <c r="D8" i="2"/>
  <c r="E8" i="2"/>
  <c r="F8" i="2"/>
  <c r="G8" i="2"/>
  <c r="B9" i="2"/>
  <c r="C9" i="2"/>
  <c r="D9" i="2"/>
  <c r="E9" i="2"/>
  <c r="F9" i="2"/>
  <c r="G9" i="2"/>
  <c r="B10" i="2"/>
  <c r="C10" i="2"/>
  <c r="D10" i="2"/>
  <c r="E10" i="2"/>
  <c r="F10" i="2"/>
  <c r="G10" i="2"/>
  <c r="B11" i="2"/>
  <c r="C11" i="2"/>
  <c r="D11" i="2"/>
  <c r="E11" i="2"/>
  <c r="F11" i="2"/>
  <c r="G11" i="2"/>
  <c r="B12" i="2"/>
  <c r="C12" i="2"/>
  <c r="D12" i="2"/>
  <c r="E12" i="2"/>
  <c r="F12" i="2"/>
  <c r="G12" i="2"/>
  <c r="B13" i="2"/>
  <c r="C13" i="2"/>
  <c r="D13" i="2"/>
  <c r="E13" i="2"/>
  <c r="F13" i="2"/>
  <c r="G13" i="2"/>
  <c r="B14" i="2"/>
  <c r="C14" i="2"/>
  <c r="D14" i="2"/>
  <c r="E14" i="2"/>
  <c r="F14" i="2"/>
  <c r="G14" i="2"/>
  <c r="B15" i="2"/>
  <c r="C15" i="2"/>
  <c r="D15" i="2"/>
  <c r="E15" i="2"/>
  <c r="F15" i="2"/>
  <c r="G15" i="2"/>
  <c r="B16" i="2"/>
  <c r="C16" i="2"/>
  <c r="D16" i="2"/>
  <c r="E16" i="2"/>
  <c r="F16" i="2"/>
  <c r="G16" i="2"/>
  <c r="B17" i="2"/>
  <c r="C17" i="2"/>
  <c r="D17" i="2"/>
  <c r="E17" i="2"/>
  <c r="F17" i="2"/>
  <c r="G17" i="2"/>
  <c r="B18" i="2"/>
  <c r="C18" i="2"/>
  <c r="D18" i="2"/>
  <c r="E18" i="2"/>
  <c r="F18" i="2"/>
  <c r="G18" i="2"/>
  <c r="B19" i="2"/>
  <c r="C19" i="2"/>
  <c r="D19" i="2"/>
  <c r="E19" i="2"/>
  <c r="F19" i="2"/>
  <c r="G19" i="2"/>
  <c r="B20" i="2"/>
  <c r="C20" i="2"/>
  <c r="D20" i="2"/>
  <c r="E20" i="2"/>
  <c r="F20" i="2"/>
  <c r="G20" i="2"/>
  <c r="B21" i="2"/>
  <c r="C21" i="2"/>
  <c r="D21" i="2"/>
  <c r="E21" i="2"/>
  <c r="F21" i="2"/>
  <c r="G21" i="2"/>
  <c r="B22" i="2"/>
  <c r="C22" i="2"/>
  <c r="D22" i="2"/>
  <c r="E22" i="2"/>
  <c r="F22" i="2"/>
  <c r="G22" i="2"/>
  <c r="B23" i="2"/>
  <c r="C23" i="2"/>
  <c r="D23" i="2"/>
  <c r="E23" i="2"/>
  <c r="F23" i="2"/>
  <c r="G23" i="2"/>
  <c r="B24" i="2"/>
  <c r="C24" i="2"/>
  <c r="D24" i="2"/>
  <c r="E24" i="2"/>
  <c r="F24" i="2"/>
  <c r="G24" i="2"/>
  <c r="B25" i="2"/>
  <c r="C25" i="2"/>
  <c r="D25" i="2"/>
  <c r="E25" i="2"/>
  <c r="F25" i="2"/>
  <c r="G25" i="2"/>
  <c r="B26" i="2"/>
  <c r="C26" i="2"/>
  <c r="D26" i="2"/>
  <c r="E26" i="2"/>
  <c r="F26" i="2"/>
  <c r="G26" i="2"/>
  <c r="B27" i="2"/>
  <c r="C27" i="2"/>
  <c r="D27" i="2"/>
  <c r="E27" i="2"/>
  <c r="F27" i="2"/>
  <c r="G27" i="2"/>
  <c r="B28" i="2"/>
  <c r="C28" i="2"/>
  <c r="D28" i="2"/>
  <c r="E28" i="2"/>
  <c r="F28" i="2"/>
  <c r="G28" i="2"/>
  <c r="B29" i="2"/>
  <c r="C29" i="2"/>
  <c r="D29" i="2"/>
  <c r="E29" i="2"/>
  <c r="F29" i="2"/>
  <c r="G29" i="2"/>
  <c r="B30" i="2"/>
  <c r="C30" i="2"/>
  <c r="D30" i="2"/>
  <c r="E30" i="2"/>
  <c r="F30" i="2"/>
  <c r="G30" i="2"/>
  <c r="B31" i="2"/>
  <c r="C31" i="2"/>
  <c r="D31" i="2"/>
  <c r="E31" i="2"/>
  <c r="F31" i="2"/>
  <c r="G31" i="2"/>
  <c r="B32" i="2"/>
  <c r="C32" i="2"/>
  <c r="D32" i="2"/>
  <c r="E32" i="2"/>
  <c r="F32" i="2"/>
  <c r="G32" i="2"/>
  <c r="B33" i="2"/>
  <c r="C33" i="2"/>
  <c r="D33" i="2"/>
  <c r="E33" i="2"/>
  <c r="F33" i="2"/>
  <c r="G33" i="2"/>
  <c r="B34" i="2"/>
  <c r="C34" i="2"/>
  <c r="D34" i="2"/>
  <c r="E34" i="2"/>
  <c r="F34" i="2"/>
  <c r="G34" i="2"/>
  <c r="B35" i="2"/>
  <c r="C35" i="2"/>
  <c r="D35" i="2"/>
  <c r="E35" i="2"/>
  <c r="F35" i="2"/>
  <c r="G35" i="2"/>
  <c r="B36" i="2"/>
  <c r="C36" i="2"/>
  <c r="D36" i="2"/>
  <c r="E36" i="2"/>
  <c r="F36" i="2"/>
  <c r="G36" i="2"/>
  <c r="B37" i="2"/>
  <c r="C37" i="2"/>
  <c r="D37" i="2"/>
  <c r="E37" i="2"/>
  <c r="F37" i="2"/>
  <c r="G37" i="2"/>
  <c r="B38" i="2"/>
  <c r="C38" i="2"/>
  <c r="D38" i="2"/>
  <c r="E38" i="2"/>
  <c r="F38" i="2"/>
  <c r="G38" i="2"/>
  <c r="B39" i="2"/>
  <c r="C39" i="2"/>
  <c r="D39" i="2"/>
  <c r="E39" i="2"/>
  <c r="F39" i="2"/>
  <c r="G39" i="2"/>
  <c r="B40" i="2"/>
  <c r="C40" i="2"/>
  <c r="D40" i="2"/>
  <c r="E40" i="2"/>
  <c r="F40" i="2"/>
  <c r="G40" i="2"/>
  <c r="B41" i="2"/>
  <c r="C41" i="2"/>
  <c r="D41" i="2"/>
  <c r="E41" i="2"/>
  <c r="F41" i="2"/>
  <c r="G41" i="2"/>
  <c r="B42" i="2"/>
  <c r="C42" i="2"/>
  <c r="D42" i="2"/>
  <c r="E42" i="2"/>
  <c r="F42" i="2"/>
  <c r="G42" i="2"/>
  <c r="B43" i="2"/>
  <c r="C43" i="2"/>
  <c r="D43" i="2"/>
  <c r="E43" i="2"/>
  <c r="F43" i="2"/>
  <c r="G43" i="2"/>
  <c r="B44" i="2"/>
  <c r="C44" i="2"/>
  <c r="D44" i="2"/>
  <c r="E44" i="2"/>
  <c r="F44" i="2"/>
  <c r="G44" i="2"/>
  <c r="B45" i="2"/>
  <c r="C45" i="2"/>
  <c r="D45" i="2"/>
  <c r="E45" i="2"/>
  <c r="F45" i="2"/>
  <c r="G45" i="2"/>
  <c r="B46" i="2"/>
  <c r="C46" i="2"/>
  <c r="D46" i="2"/>
  <c r="E46" i="2"/>
  <c r="F46" i="2"/>
  <c r="G46" i="2"/>
  <c r="B47" i="2"/>
  <c r="C47" i="2"/>
  <c r="D47" i="2"/>
  <c r="E47" i="2"/>
  <c r="F47" i="2"/>
  <c r="G47" i="2"/>
  <c r="B48" i="2"/>
  <c r="C48" i="2"/>
  <c r="D48" i="2"/>
  <c r="E48" i="2"/>
  <c r="F48" i="2"/>
  <c r="G48" i="2"/>
  <c r="B49" i="2"/>
  <c r="C49" i="2"/>
  <c r="D49" i="2"/>
  <c r="E49" i="2"/>
  <c r="F49" i="2"/>
  <c r="G49" i="2"/>
  <c r="B50" i="2"/>
  <c r="C50" i="2"/>
  <c r="D50" i="2"/>
  <c r="E50" i="2"/>
  <c r="F50" i="2"/>
  <c r="G50" i="2"/>
  <c r="B51" i="2"/>
  <c r="C51" i="2"/>
  <c r="D51" i="2"/>
  <c r="E51" i="2"/>
  <c r="F51" i="2"/>
  <c r="G51" i="2"/>
  <c r="B52" i="2"/>
  <c r="C52" i="2"/>
  <c r="D52" i="2"/>
  <c r="E52" i="2"/>
  <c r="F52" i="2"/>
  <c r="G52" i="2"/>
  <c r="B53" i="2"/>
  <c r="C53" i="2"/>
  <c r="D53" i="2"/>
  <c r="E53" i="2"/>
  <c r="F53" i="2"/>
  <c r="G53" i="2"/>
  <c r="B54" i="2"/>
  <c r="C54" i="2"/>
  <c r="D54" i="2"/>
  <c r="E54" i="2"/>
  <c r="F54" i="2"/>
  <c r="G54" i="2"/>
  <c r="C2" i="2"/>
  <c r="D2" i="2"/>
  <c r="E2" i="2"/>
  <c r="F2" i="2"/>
  <c r="G2" i="2"/>
  <c r="B2" i="2"/>
  <c r="F167" i="1"/>
  <c r="G167" i="1"/>
  <c r="H167" i="1"/>
  <c r="I167" i="1"/>
  <c r="J167" i="1"/>
  <c r="K167" i="1"/>
  <c r="L167" i="1"/>
  <c r="M167" i="1"/>
  <c r="N167" i="1"/>
  <c r="O167" i="1"/>
  <c r="P167" i="1"/>
  <c r="Q167" i="1"/>
  <c r="R167" i="1"/>
  <c r="S167" i="1"/>
  <c r="F168" i="1"/>
  <c r="G168" i="1"/>
  <c r="H168" i="1"/>
  <c r="I168" i="1"/>
  <c r="J168" i="1"/>
  <c r="K168" i="1"/>
  <c r="L168" i="1"/>
  <c r="M168" i="1"/>
  <c r="N168" i="1"/>
  <c r="O168" i="1"/>
  <c r="P168" i="1"/>
  <c r="Q168" i="1"/>
  <c r="R168" i="1"/>
  <c r="S168" i="1"/>
  <c r="F169" i="1"/>
  <c r="G169" i="1"/>
  <c r="H169" i="1"/>
  <c r="I169" i="1"/>
  <c r="J169" i="1"/>
  <c r="K169" i="1"/>
  <c r="L169" i="1"/>
  <c r="M169" i="1"/>
  <c r="N169" i="1"/>
  <c r="O169" i="1"/>
  <c r="P169" i="1"/>
  <c r="Q169" i="1"/>
  <c r="R169" i="1"/>
  <c r="S169" i="1"/>
  <c r="F170" i="1"/>
  <c r="G170" i="1"/>
  <c r="H170" i="1"/>
  <c r="I170" i="1"/>
  <c r="J170" i="1"/>
  <c r="K170" i="1"/>
  <c r="L170" i="1"/>
  <c r="M170" i="1"/>
  <c r="N170" i="1"/>
  <c r="O170" i="1"/>
  <c r="P170" i="1"/>
  <c r="Q170" i="1"/>
  <c r="R170" i="1"/>
  <c r="S170" i="1"/>
  <c r="F171" i="1"/>
  <c r="G171" i="1"/>
  <c r="H171" i="1"/>
  <c r="I171" i="1"/>
  <c r="J171" i="1"/>
  <c r="K171" i="1"/>
  <c r="L171" i="1"/>
  <c r="M171" i="1"/>
  <c r="N171" i="1"/>
  <c r="O171" i="1"/>
  <c r="P171" i="1"/>
  <c r="Q171" i="1"/>
  <c r="R171" i="1"/>
  <c r="S171" i="1"/>
  <c r="F172" i="1"/>
  <c r="G172" i="1"/>
  <c r="H172" i="1"/>
  <c r="I172" i="1"/>
  <c r="J172" i="1"/>
  <c r="K172" i="1"/>
  <c r="L172" i="1"/>
  <c r="M172" i="1"/>
  <c r="N172" i="1"/>
  <c r="O172" i="1"/>
  <c r="P172" i="1"/>
  <c r="Q172" i="1"/>
  <c r="R172" i="1"/>
  <c r="S172" i="1"/>
  <c r="F173" i="1"/>
  <c r="G173" i="1"/>
  <c r="H173" i="1"/>
  <c r="I173" i="1"/>
  <c r="J173" i="1"/>
  <c r="K173" i="1"/>
  <c r="L173" i="1"/>
  <c r="M173" i="1"/>
  <c r="N173" i="1"/>
  <c r="O173" i="1"/>
  <c r="P173" i="1"/>
  <c r="Q173" i="1"/>
  <c r="R173" i="1"/>
  <c r="S173" i="1"/>
  <c r="F174" i="1"/>
  <c r="G174" i="1"/>
  <c r="H174" i="1"/>
  <c r="I174" i="1"/>
  <c r="J174" i="1"/>
  <c r="K174" i="1"/>
  <c r="L174" i="1"/>
  <c r="M174" i="1"/>
  <c r="N174" i="1"/>
  <c r="O174" i="1"/>
  <c r="P174" i="1"/>
  <c r="Q174" i="1"/>
  <c r="R174" i="1"/>
  <c r="S174" i="1"/>
  <c r="F175" i="1"/>
  <c r="G175" i="1"/>
  <c r="H175" i="1"/>
  <c r="I175" i="1"/>
  <c r="J175" i="1"/>
  <c r="K175" i="1"/>
  <c r="L175" i="1"/>
  <c r="M175" i="1"/>
  <c r="N175" i="1"/>
  <c r="O175" i="1"/>
  <c r="P175" i="1"/>
  <c r="Q175" i="1"/>
  <c r="R175" i="1"/>
  <c r="S175" i="1"/>
  <c r="F176" i="1"/>
  <c r="G176" i="1"/>
  <c r="H176" i="1"/>
  <c r="I176" i="1"/>
  <c r="J176" i="1"/>
  <c r="K176" i="1"/>
  <c r="L176" i="1"/>
  <c r="M176" i="1"/>
  <c r="N176" i="1"/>
  <c r="O176" i="1"/>
  <c r="P176" i="1"/>
  <c r="Q176" i="1"/>
  <c r="R176" i="1"/>
  <c r="S176" i="1"/>
  <c r="F177" i="1"/>
  <c r="G177" i="1"/>
  <c r="H177" i="1"/>
  <c r="I177" i="1"/>
  <c r="J177" i="1"/>
  <c r="K177" i="1"/>
  <c r="L177" i="1"/>
  <c r="M177" i="1"/>
  <c r="N177" i="1"/>
  <c r="O177" i="1"/>
  <c r="P177" i="1"/>
  <c r="Q177" i="1"/>
  <c r="R177" i="1"/>
  <c r="S177" i="1"/>
  <c r="F178" i="1"/>
  <c r="G178" i="1"/>
  <c r="H178" i="1"/>
  <c r="I178" i="1"/>
  <c r="J178" i="1"/>
  <c r="K178" i="1"/>
  <c r="L178" i="1"/>
  <c r="M178" i="1"/>
  <c r="N178" i="1"/>
  <c r="O178" i="1"/>
  <c r="P178" i="1"/>
  <c r="Q178" i="1"/>
  <c r="R178" i="1"/>
  <c r="S178" i="1"/>
  <c r="F179" i="1"/>
  <c r="G179" i="1"/>
  <c r="H179" i="1"/>
  <c r="I179" i="1"/>
  <c r="J179" i="1"/>
  <c r="K179" i="1"/>
  <c r="L179" i="1"/>
  <c r="M179" i="1"/>
  <c r="N179" i="1"/>
  <c r="O179" i="1"/>
  <c r="P179" i="1"/>
  <c r="Q179" i="1"/>
  <c r="R179" i="1"/>
  <c r="S179" i="1"/>
  <c r="F180" i="1"/>
  <c r="G180" i="1"/>
  <c r="H180" i="1"/>
  <c r="I180" i="1"/>
  <c r="J180" i="1"/>
  <c r="K180" i="1"/>
  <c r="L180" i="1"/>
  <c r="M180" i="1"/>
  <c r="N180" i="1"/>
  <c r="O180" i="1"/>
  <c r="P180" i="1"/>
  <c r="Q180" i="1"/>
  <c r="R180" i="1"/>
  <c r="S180" i="1"/>
  <c r="F181" i="1"/>
  <c r="G181" i="1"/>
  <c r="H181" i="1"/>
  <c r="I181" i="1"/>
  <c r="J181" i="1"/>
  <c r="K181" i="1"/>
  <c r="L181" i="1"/>
  <c r="M181" i="1"/>
  <c r="N181" i="1"/>
  <c r="O181" i="1"/>
  <c r="P181" i="1"/>
  <c r="Q181" i="1"/>
  <c r="R181" i="1"/>
  <c r="S181" i="1"/>
  <c r="F182" i="1"/>
  <c r="G182" i="1"/>
  <c r="H182" i="1"/>
  <c r="I182" i="1"/>
  <c r="J182" i="1"/>
  <c r="K182" i="1"/>
  <c r="L182" i="1"/>
  <c r="M182" i="1"/>
  <c r="N182" i="1"/>
  <c r="O182" i="1"/>
  <c r="P182" i="1"/>
  <c r="Q182" i="1"/>
  <c r="R182" i="1"/>
  <c r="S182" i="1"/>
  <c r="F183" i="1"/>
  <c r="G183" i="1"/>
  <c r="H183" i="1"/>
  <c r="I183" i="1"/>
  <c r="J183" i="1"/>
  <c r="K183" i="1"/>
  <c r="L183" i="1"/>
  <c r="M183" i="1"/>
  <c r="N183" i="1"/>
  <c r="O183" i="1"/>
  <c r="P183" i="1"/>
  <c r="Q183" i="1"/>
  <c r="R183" i="1"/>
  <c r="S183" i="1"/>
  <c r="F184" i="1"/>
  <c r="G184" i="1"/>
  <c r="H184" i="1"/>
  <c r="I184" i="1"/>
  <c r="J184" i="1"/>
  <c r="K184" i="1"/>
  <c r="L184" i="1"/>
  <c r="M184" i="1"/>
  <c r="N184" i="1"/>
  <c r="O184" i="1"/>
  <c r="P184" i="1"/>
  <c r="Q184" i="1"/>
  <c r="R184" i="1"/>
  <c r="S184" i="1"/>
  <c r="F185" i="1"/>
  <c r="G185" i="1"/>
  <c r="H185" i="1"/>
  <c r="I185" i="1"/>
  <c r="J185" i="1"/>
  <c r="K185" i="1"/>
  <c r="L185" i="1"/>
  <c r="M185" i="1"/>
  <c r="N185" i="1"/>
  <c r="O185" i="1"/>
  <c r="P185" i="1"/>
  <c r="Q185" i="1"/>
  <c r="R185" i="1"/>
  <c r="S185" i="1"/>
  <c r="F186" i="1"/>
  <c r="G186" i="1"/>
  <c r="H186" i="1"/>
  <c r="I186" i="1"/>
  <c r="J186" i="1"/>
  <c r="K186" i="1"/>
  <c r="L186" i="1"/>
  <c r="M186" i="1"/>
  <c r="N186" i="1"/>
  <c r="O186" i="1"/>
  <c r="P186" i="1"/>
  <c r="Q186" i="1"/>
  <c r="R186" i="1"/>
  <c r="S186" i="1"/>
  <c r="F187" i="1"/>
  <c r="G187" i="1"/>
  <c r="H187" i="1"/>
  <c r="I187" i="1"/>
  <c r="J187" i="1"/>
  <c r="K187" i="1"/>
  <c r="L187" i="1"/>
  <c r="M187" i="1"/>
  <c r="N187" i="1"/>
  <c r="O187" i="1"/>
  <c r="P187" i="1"/>
  <c r="Q187" i="1"/>
  <c r="R187" i="1"/>
  <c r="S187" i="1"/>
  <c r="F188" i="1"/>
  <c r="G188" i="1"/>
  <c r="H188" i="1"/>
  <c r="I188" i="1"/>
  <c r="J188" i="1"/>
  <c r="K188" i="1"/>
  <c r="L188" i="1"/>
  <c r="M188" i="1"/>
  <c r="N188" i="1"/>
  <c r="O188" i="1"/>
  <c r="P188" i="1"/>
  <c r="Q188" i="1"/>
  <c r="R188" i="1"/>
  <c r="S188" i="1"/>
  <c r="F189" i="1"/>
  <c r="G189" i="1"/>
  <c r="H189" i="1"/>
  <c r="I189" i="1"/>
  <c r="J189" i="1"/>
  <c r="K189" i="1"/>
  <c r="L189" i="1"/>
  <c r="M189" i="1"/>
  <c r="N189" i="1"/>
  <c r="O189" i="1"/>
  <c r="P189" i="1"/>
  <c r="Q189" i="1"/>
  <c r="R189" i="1"/>
  <c r="S189" i="1"/>
  <c r="F190" i="1"/>
  <c r="G190" i="1"/>
  <c r="H190" i="1"/>
  <c r="I190" i="1"/>
  <c r="J190" i="1"/>
  <c r="K190" i="1"/>
  <c r="L190" i="1"/>
  <c r="M190" i="1"/>
  <c r="N190" i="1"/>
  <c r="O190" i="1"/>
  <c r="P190" i="1"/>
  <c r="Q190" i="1"/>
  <c r="R190" i="1"/>
  <c r="S190" i="1"/>
  <c r="F191" i="1"/>
  <c r="G191" i="1"/>
  <c r="H191" i="1"/>
  <c r="I191" i="1"/>
  <c r="J191" i="1"/>
  <c r="K191" i="1"/>
  <c r="L191" i="1"/>
  <c r="M191" i="1"/>
  <c r="N191" i="1"/>
  <c r="O191" i="1"/>
  <c r="P191" i="1"/>
  <c r="Q191" i="1"/>
  <c r="R191" i="1"/>
  <c r="S191" i="1"/>
  <c r="F192" i="1"/>
  <c r="G192" i="1"/>
  <c r="H192" i="1"/>
  <c r="I192" i="1"/>
  <c r="J192" i="1"/>
  <c r="K192" i="1"/>
  <c r="L192" i="1"/>
  <c r="M192" i="1"/>
  <c r="N192" i="1"/>
  <c r="O192" i="1"/>
  <c r="P192" i="1"/>
  <c r="Q192" i="1"/>
  <c r="R192" i="1"/>
  <c r="S192" i="1"/>
  <c r="F193" i="1"/>
  <c r="G193" i="1"/>
  <c r="H193" i="1"/>
  <c r="I193" i="1"/>
  <c r="J193" i="1"/>
  <c r="K193" i="1"/>
  <c r="L193" i="1"/>
  <c r="M193" i="1"/>
  <c r="N193" i="1"/>
  <c r="O193" i="1"/>
  <c r="P193" i="1"/>
  <c r="Q193" i="1"/>
  <c r="R193" i="1"/>
  <c r="S193" i="1"/>
  <c r="F194" i="1"/>
  <c r="G194" i="1"/>
  <c r="H194" i="1"/>
  <c r="I194" i="1"/>
  <c r="J194" i="1"/>
  <c r="K194" i="1"/>
  <c r="L194" i="1"/>
  <c r="M194" i="1"/>
  <c r="N194" i="1"/>
  <c r="O194" i="1"/>
  <c r="P194" i="1"/>
  <c r="Q194" i="1"/>
  <c r="R194" i="1"/>
  <c r="S194" i="1"/>
  <c r="F195" i="1"/>
  <c r="G195" i="1"/>
  <c r="H195" i="1"/>
  <c r="I195" i="1"/>
  <c r="J195" i="1"/>
  <c r="K195" i="1"/>
  <c r="L195" i="1"/>
  <c r="M195" i="1"/>
  <c r="N195" i="1"/>
  <c r="O195" i="1"/>
  <c r="P195" i="1"/>
  <c r="Q195" i="1"/>
  <c r="R195" i="1"/>
  <c r="S195" i="1"/>
  <c r="F196" i="1"/>
  <c r="G196" i="1"/>
  <c r="H196" i="1"/>
  <c r="I196" i="1"/>
  <c r="J196" i="1"/>
  <c r="K196" i="1"/>
  <c r="L196" i="1"/>
  <c r="M196" i="1"/>
  <c r="N196" i="1"/>
  <c r="O196" i="1"/>
  <c r="P196" i="1"/>
  <c r="Q196" i="1"/>
  <c r="R196" i="1"/>
  <c r="S196" i="1"/>
  <c r="F197" i="1"/>
  <c r="G197" i="1"/>
  <c r="H197" i="1"/>
  <c r="I197" i="1"/>
  <c r="J197" i="1"/>
  <c r="K197" i="1"/>
  <c r="L197" i="1"/>
  <c r="M197" i="1"/>
  <c r="N197" i="1"/>
  <c r="O197" i="1"/>
  <c r="P197" i="1"/>
  <c r="Q197" i="1"/>
  <c r="R197" i="1"/>
  <c r="S197" i="1"/>
  <c r="F198" i="1"/>
  <c r="G198" i="1"/>
  <c r="H198" i="1"/>
  <c r="I198" i="1"/>
  <c r="J198" i="1"/>
  <c r="K198" i="1"/>
  <c r="L198" i="1"/>
  <c r="M198" i="1"/>
  <c r="N198" i="1"/>
  <c r="O198" i="1"/>
  <c r="P198" i="1"/>
  <c r="Q198" i="1"/>
  <c r="R198" i="1"/>
  <c r="S198" i="1"/>
  <c r="F199" i="1"/>
  <c r="G199" i="1"/>
  <c r="H199" i="1"/>
  <c r="I199" i="1"/>
  <c r="J199" i="1"/>
  <c r="K199" i="1"/>
  <c r="L199" i="1"/>
  <c r="M199" i="1"/>
  <c r="N199" i="1"/>
  <c r="O199" i="1"/>
  <c r="P199" i="1"/>
  <c r="Q199" i="1"/>
  <c r="R199" i="1"/>
  <c r="S199" i="1"/>
  <c r="F200" i="1"/>
  <c r="G200" i="1"/>
  <c r="H200" i="1"/>
  <c r="I200" i="1"/>
  <c r="J200" i="1"/>
  <c r="K200" i="1"/>
  <c r="L200" i="1"/>
  <c r="M200" i="1"/>
  <c r="N200" i="1"/>
  <c r="O200" i="1"/>
  <c r="P200" i="1"/>
  <c r="Q200" i="1"/>
  <c r="R200" i="1"/>
  <c r="S200" i="1"/>
  <c r="F201" i="1"/>
  <c r="G201" i="1"/>
  <c r="H201" i="1"/>
  <c r="I201" i="1"/>
  <c r="J201" i="1"/>
  <c r="K201" i="1"/>
  <c r="L201" i="1"/>
  <c r="M201" i="1"/>
  <c r="N201" i="1"/>
  <c r="O201" i="1"/>
  <c r="P201" i="1"/>
  <c r="Q201" i="1"/>
  <c r="R201" i="1"/>
  <c r="S201" i="1"/>
  <c r="F202" i="1"/>
  <c r="G202" i="1"/>
  <c r="H202" i="1"/>
  <c r="I202" i="1"/>
  <c r="J202" i="1"/>
  <c r="K202" i="1"/>
  <c r="L202" i="1"/>
  <c r="M202" i="1"/>
  <c r="N202" i="1"/>
  <c r="O202" i="1"/>
  <c r="P202" i="1"/>
  <c r="Q202" i="1"/>
  <c r="R202" i="1"/>
  <c r="S202" i="1"/>
  <c r="F203" i="1"/>
  <c r="G203" i="1"/>
  <c r="H203" i="1"/>
  <c r="I203" i="1"/>
  <c r="J203" i="1"/>
  <c r="K203" i="1"/>
  <c r="L203" i="1"/>
  <c r="M203" i="1"/>
  <c r="N203" i="1"/>
  <c r="O203" i="1"/>
  <c r="P203" i="1"/>
  <c r="Q203" i="1"/>
  <c r="R203" i="1"/>
  <c r="S203" i="1"/>
  <c r="F204" i="1"/>
  <c r="G204" i="1"/>
  <c r="H204" i="1"/>
  <c r="I204" i="1"/>
  <c r="J204" i="1"/>
  <c r="K204" i="1"/>
  <c r="L204" i="1"/>
  <c r="M204" i="1"/>
  <c r="N204" i="1"/>
  <c r="O204" i="1"/>
  <c r="P204" i="1"/>
  <c r="Q204" i="1"/>
  <c r="R204" i="1"/>
  <c r="S204" i="1"/>
  <c r="F205" i="1"/>
  <c r="G205" i="1"/>
  <c r="H205" i="1"/>
  <c r="I205" i="1"/>
  <c r="J205" i="1"/>
  <c r="K205" i="1"/>
  <c r="L205" i="1"/>
  <c r="M205" i="1"/>
  <c r="N205" i="1"/>
  <c r="O205" i="1"/>
  <c r="P205" i="1"/>
  <c r="Q205" i="1"/>
  <c r="R205" i="1"/>
  <c r="S205" i="1"/>
  <c r="F206" i="1"/>
  <c r="G206" i="1"/>
  <c r="H206" i="1"/>
  <c r="I206" i="1"/>
  <c r="J206" i="1"/>
  <c r="K206" i="1"/>
  <c r="L206" i="1"/>
  <c r="M206" i="1"/>
  <c r="N206" i="1"/>
  <c r="O206" i="1"/>
  <c r="P206" i="1"/>
  <c r="Q206" i="1"/>
  <c r="R206" i="1"/>
  <c r="S206" i="1"/>
  <c r="F207" i="1"/>
  <c r="G207" i="1"/>
  <c r="H207" i="1"/>
  <c r="I207" i="1"/>
  <c r="J207" i="1"/>
  <c r="K207" i="1"/>
  <c r="L207" i="1"/>
  <c r="M207" i="1"/>
  <c r="N207" i="1"/>
  <c r="O207" i="1"/>
  <c r="P207" i="1"/>
  <c r="Q207" i="1"/>
  <c r="R207" i="1"/>
  <c r="S207" i="1"/>
  <c r="F208" i="1"/>
  <c r="G208" i="1"/>
  <c r="H208" i="1"/>
  <c r="I208" i="1"/>
  <c r="J208" i="1"/>
  <c r="K208" i="1"/>
  <c r="L208" i="1"/>
  <c r="M208" i="1"/>
  <c r="N208" i="1"/>
  <c r="O208" i="1"/>
  <c r="P208" i="1"/>
  <c r="Q208" i="1"/>
  <c r="R208" i="1"/>
  <c r="S208" i="1"/>
  <c r="F209" i="1"/>
  <c r="G209" i="1"/>
  <c r="H209" i="1"/>
  <c r="I209" i="1"/>
  <c r="J209" i="1"/>
  <c r="K209" i="1"/>
  <c r="L209" i="1"/>
  <c r="M209" i="1"/>
  <c r="N209" i="1"/>
  <c r="O209" i="1"/>
  <c r="P209" i="1"/>
  <c r="Q209" i="1"/>
  <c r="R209" i="1"/>
  <c r="S209" i="1"/>
  <c r="F210" i="1"/>
  <c r="G210" i="1"/>
  <c r="H210" i="1"/>
  <c r="I210" i="1"/>
  <c r="J210" i="1"/>
  <c r="K210" i="1"/>
  <c r="L210" i="1"/>
  <c r="M210" i="1"/>
  <c r="N210" i="1"/>
  <c r="O210" i="1"/>
  <c r="P210" i="1"/>
  <c r="Q210" i="1"/>
  <c r="R210" i="1"/>
  <c r="S210" i="1"/>
  <c r="F211" i="1"/>
  <c r="G211" i="1"/>
  <c r="H211" i="1"/>
  <c r="I211" i="1"/>
  <c r="J211" i="1"/>
  <c r="K211" i="1"/>
  <c r="L211" i="1"/>
  <c r="M211" i="1"/>
  <c r="N211" i="1"/>
  <c r="O211" i="1"/>
  <c r="P211" i="1"/>
  <c r="Q211" i="1"/>
  <c r="R211" i="1"/>
  <c r="S211" i="1"/>
  <c r="F212" i="1"/>
  <c r="G212" i="1"/>
  <c r="H212" i="1"/>
  <c r="I212" i="1"/>
  <c r="J212" i="1"/>
  <c r="K212" i="1"/>
  <c r="L212" i="1"/>
  <c r="M212" i="1"/>
  <c r="N212" i="1"/>
  <c r="O212" i="1"/>
  <c r="P212" i="1"/>
  <c r="Q212" i="1"/>
  <c r="R212" i="1"/>
  <c r="S212" i="1"/>
  <c r="F213" i="1"/>
  <c r="G213" i="1"/>
  <c r="H213" i="1"/>
  <c r="I213" i="1"/>
  <c r="J213" i="1"/>
  <c r="K213" i="1"/>
  <c r="L213" i="1"/>
  <c r="M213" i="1"/>
  <c r="N213" i="1"/>
  <c r="O213" i="1"/>
  <c r="P213" i="1"/>
  <c r="Q213" i="1"/>
  <c r="R213" i="1"/>
  <c r="S213" i="1"/>
  <c r="F214" i="1"/>
  <c r="G214" i="1"/>
  <c r="H214" i="1"/>
  <c r="I214" i="1"/>
  <c r="J214" i="1"/>
  <c r="K214" i="1"/>
  <c r="L214" i="1"/>
  <c r="M214" i="1"/>
  <c r="N214" i="1"/>
  <c r="O214" i="1"/>
  <c r="P214" i="1"/>
  <c r="Q214" i="1"/>
  <c r="R214" i="1"/>
  <c r="S214" i="1"/>
  <c r="F215" i="1"/>
  <c r="G215" i="1"/>
  <c r="H215" i="1"/>
  <c r="I215" i="1"/>
  <c r="J215" i="1"/>
  <c r="K215" i="1"/>
  <c r="L215" i="1"/>
  <c r="M215" i="1"/>
  <c r="N215" i="1"/>
  <c r="O215" i="1"/>
  <c r="P215" i="1"/>
  <c r="Q215" i="1"/>
  <c r="R215" i="1"/>
  <c r="S215" i="1"/>
  <c r="F216" i="1"/>
  <c r="G216" i="1"/>
  <c r="H216" i="1"/>
  <c r="I216" i="1"/>
  <c r="J216" i="1"/>
  <c r="K216" i="1"/>
  <c r="L216" i="1"/>
  <c r="M216" i="1"/>
  <c r="N216" i="1"/>
  <c r="O216" i="1"/>
  <c r="P216" i="1"/>
  <c r="Q216" i="1"/>
  <c r="R216" i="1"/>
  <c r="S216" i="1"/>
  <c r="F217" i="1"/>
  <c r="G217" i="1"/>
  <c r="H217" i="1"/>
  <c r="I217" i="1"/>
  <c r="J217" i="1"/>
  <c r="K217" i="1"/>
  <c r="L217" i="1"/>
  <c r="M217" i="1"/>
  <c r="N217" i="1"/>
  <c r="O217" i="1"/>
  <c r="P217" i="1"/>
  <c r="Q217" i="1"/>
  <c r="R217" i="1"/>
  <c r="S217"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C166" i="1"/>
  <c r="D166" i="1"/>
  <c r="E166" i="1"/>
  <c r="F166" i="1"/>
  <c r="G166" i="1"/>
  <c r="H166" i="1"/>
  <c r="I166" i="1"/>
  <c r="J166" i="1"/>
  <c r="K166" i="1"/>
  <c r="L166" i="1"/>
  <c r="M166" i="1"/>
  <c r="N166" i="1"/>
  <c r="O166" i="1"/>
  <c r="P166" i="1"/>
  <c r="Q166" i="1"/>
  <c r="R166" i="1"/>
  <c r="S166" i="1"/>
  <c r="C60" i="14" l="1"/>
  <c r="D23" i="14"/>
  <c r="C61" i="7"/>
  <c r="C68" i="11"/>
  <c r="D28" i="11"/>
  <c r="D30" i="9"/>
  <c r="D23" i="7"/>
  <c r="D28" i="4"/>
  <c r="Y2" i="2"/>
  <c r="Y56" i="2"/>
  <c r="Y58" i="2"/>
  <c r="Y64" i="2"/>
  <c r="Y62" i="2"/>
  <c r="Y47" i="2"/>
  <c r="Y39" i="2"/>
  <c r="Y33" i="2"/>
  <c r="Y29" i="2"/>
  <c r="Y25" i="2"/>
  <c r="Y21" i="2"/>
  <c r="Y11" i="2"/>
  <c r="Y5" i="2"/>
  <c r="Y90" i="2"/>
  <c r="Y82" i="2"/>
  <c r="Y70" i="2"/>
  <c r="Y65" i="2"/>
  <c r="Y63" i="2"/>
  <c r="Y61" i="2"/>
  <c r="Y59" i="2"/>
  <c r="Y57" i="2"/>
  <c r="Y55" i="2"/>
  <c r="Y60" i="2"/>
  <c r="Y53" i="2"/>
  <c r="Y51" i="2"/>
  <c r="Y49" i="2"/>
  <c r="Y45" i="2"/>
  <c r="Y43" i="2"/>
  <c r="Y41" i="2"/>
  <c r="Y37" i="2"/>
  <c r="Y35" i="2"/>
  <c r="Y31" i="2"/>
  <c r="Y27" i="2"/>
  <c r="Y23" i="2"/>
  <c r="Y19" i="2"/>
  <c r="Y17" i="2"/>
  <c r="Y15" i="2"/>
  <c r="Y13" i="2"/>
  <c r="Y9" i="2"/>
  <c r="Y7" i="2"/>
  <c r="Y3" i="2"/>
  <c r="Y92" i="2"/>
  <c r="Y88" i="2"/>
  <c r="Y86" i="2"/>
  <c r="Y84" i="2"/>
  <c r="Y80" i="2"/>
  <c r="Y78" i="2"/>
  <c r="Y76" i="2"/>
  <c r="Y74" i="2"/>
  <c r="Y72" i="2"/>
  <c r="Y68" i="2"/>
  <c r="Y66" i="2"/>
  <c r="Y54" i="2"/>
  <c r="Y52" i="2"/>
  <c r="Y50" i="2"/>
  <c r="Y48" i="2"/>
  <c r="Y46" i="2"/>
  <c r="Y44" i="2"/>
  <c r="Y42" i="2"/>
  <c r="Y40" i="2"/>
  <c r="Y38" i="2"/>
  <c r="Y36" i="2"/>
  <c r="Y34" i="2"/>
  <c r="Y32" i="2"/>
  <c r="Y30" i="2"/>
  <c r="Y28" i="2"/>
  <c r="Y26" i="2"/>
  <c r="Y24" i="2"/>
  <c r="Y22" i="2"/>
  <c r="Y20" i="2"/>
  <c r="Y18" i="2"/>
  <c r="Y16" i="2"/>
  <c r="Y14" i="2"/>
  <c r="Y12" i="2"/>
  <c r="Y10" i="2"/>
  <c r="Y8" i="2"/>
  <c r="Y6" i="2"/>
  <c r="Y4" i="2"/>
  <c r="Y91" i="2"/>
  <c r="Y89" i="2"/>
  <c r="Y87" i="2"/>
  <c r="Y85" i="2"/>
  <c r="Y83" i="2"/>
  <c r="Y81" i="2"/>
  <c r="Y79" i="2"/>
  <c r="Y77" i="2"/>
  <c r="Y75" i="2"/>
  <c r="Y73" i="2"/>
  <c r="Y71" i="2"/>
  <c r="Y69" i="2"/>
  <c r="Y67" i="2"/>
  <c r="AK3" i="3"/>
  <c r="AK4" i="3"/>
  <c r="AK5" i="3"/>
  <c r="AK6" i="3"/>
  <c r="AK7" i="3"/>
  <c r="AK8" i="3"/>
  <c r="AK9" i="3"/>
  <c r="AK10" i="3"/>
  <c r="AK11" i="3"/>
  <c r="AK12" i="3"/>
  <c r="AK13" i="3"/>
  <c r="AK14" i="3"/>
  <c r="AK15" i="3"/>
  <c r="AK16" i="3"/>
  <c r="AK17" i="3"/>
  <c r="AK18" i="3"/>
  <c r="AK19" i="3"/>
  <c r="AK20" i="3"/>
  <c r="AK21" i="3"/>
  <c r="AK22" i="3"/>
  <c r="AK23" i="3"/>
  <c r="AK24" i="3"/>
  <c r="AK25" i="3"/>
  <c r="AK26" i="3"/>
  <c r="AK27" i="3"/>
  <c r="AK28" i="3"/>
  <c r="AK29" i="3"/>
  <c r="AK30" i="3"/>
  <c r="AK31" i="3"/>
  <c r="AK32" i="3"/>
  <c r="AK33" i="3"/>
  <c r="AK34" i="3"/>
  <c r="AK35" i="3"/>
  <c r="AK36" i="3"/>
  <c r="AK37" i="3"/>
  <c r="AK38" i="3"/>
  <c r="AK39" i="3"/>
  <c r="AK40" i="3"/>
  <c r="AK41" i="3"/>
  <c r="AK42" i="3"/>
  <c r="AK43" i="3"/>
  <c r="AK44" i="3"/>
  <c r="AK45" i="3"/>
  <c r="AK46" i="3"/>
  <c r="AK47" i="3"/>
  <c r="AK48" i="3"/>
  <c r="AK49" i="3"/>
  <c r="AK50" i="3"/>
  <c r="AK51" i="3"/>
  <c r="AK52" i="3"/>
  <c r="AK53" i="3"/>
  <c r="AK54" i="3"/>
  <c r="AK55" i="3"/>
  <c r="AK2" i="3"/>
  <c r="A53" i="4"/>
  <c r="A54" i="4"/>
  <c r="A55" i="4"/>
  <c r="A56" i="4"/>
  <c r="A57" i="4"/>
  <c r="A58" i="4"/>
  <c r="A59" i="4"/>
  <c r="A60" i="4"/>
  <c r="A61" i="4"/>
  <c r="A62" i="4"/>
  <c r="A63" i="4"/>
  <c r="A65" i="4"/>
  <c r="A66" i="4"/>
  <c r="A67" i="4"/>
  <c r="A69" i="4"/>
  <c r="A70" i="4"/>
  <c r="A72" i="4"/>
  <c r="A73" i="4"/>
  <c r="A74" i="4"/>
  <c r="A76" i="4"/>
  <c r="A77" i="4"/>
  <c r="A79" i="4"/>
  <c r="A83" i="4"/>
  <c r="A52" i="4"/>
  <c r="A16" i="4"/>
  <c r="A33" i="4"/>
  <c r="A17" i="4"/>
  <c r="A18" i="4"/>
  <c r="A19" i="4"/>
  <c r="A20" i="4"/>
  <c r="A21" i="4"/>
  <c r="A22" i="4"/>
  <c r="A23" i="4"/>
  <c r="A24" i="4"/>
  <c r="A25" i="4"/>
  <c r="A26" i="4"/>
  <c r="A27" i="4"/>
  <c r="D89" i="4"/>
  <c r="D6" i="4"/>
  <c r="AJ106" i="3"/>
  <c r="C117" i="14" s="1"/>
  <c r="AI106" i="3"/>
  <c r="C109" i="14" s="1"/>
  <c r="Z106" i="3"/>
  <c r="C107" i="14" s="1"/>
  <c r="Y106" i="3"/>
  <c r="C106" i="14" s="1"/>
  <c r="X106" i="3"/>
  <c r="C104" i="14" s="1"/>
  <c r="W106" i="3"/>
  <c r="C103" i="14" s="1"/>
  <c r="V106" i="3"/>
  <c r="C102" i="14" s="1"/>
  <c r="T106" i="3"/>
  <c r="B100" i="14" s="1"/>
  <c r="S106" i="3"/>
  <c r="B99" i="14" s="1"/>
  <c r="R106" i="3"/>
  <c r="C97" i="14" s="1"/>
  <c r="Q106" i="3"/>
  <c r="C96" i="14" s="1"/>
  <c r="P106" i="3"/>
  <c r="C95" i="14" s="1"/>
  <c r="C64" i="9"/>
  <c r="D6" i="9" s="1"/>
  <c r="N106" i="3"/>
  <c r="C93" i="14" s="1"/>
  <c r="M106" i="3"/>
  <c r="C92" i="14" s="1"/>
  <c r="L106" i="3"/>
  <c r="C91" i="14" s="1"/>
  <c r="K106" i="3"/>
  <c r="C90" i="14" s="1"/>
  <c r="J106" i="3"/>
  <c r="C89" i="14" s="1"/>
  <c r="I106" i="3"/>
  <c r="C88" i="14" s="1"/>
  <c r="H106" i="3"/>
  <c r="C87" i="14" s="1"/>
  <c r="G106" i="3"/>
  <c r="C86" i="14" s="1"/>
  <c r="F106" i="3"/>
  <c r="C85" i="14" s="1"/>
  <c r="E106" i="3"/>
  <c r="C84" i="14" s="1"/>
  <c r="D106" i="3"/>
  <c r="C83" i="14" s="1"/>
  <c r="B106" i="3"/>
  <c r="C82" i="14"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U106" i="2"/>
  <c r="D29" i="14" s="1"/>
  <c r="P106" i="2"/>
  <c r="C67" i="14" s="1"/>
  <c r="O106" i="2"/>
  <c r="M106" i="2"/>
  <c r="L106" i="2"/>
  <c r="K106" i="2"/>
  <c r="D18" i="14" s="1"/>
  <c r="I106" i="2"/>
  <c r="H106" i="2"/>
  <c r="G106" i="2"/>
  <c r="F106" i="2"/>
  <c r="E106" i="2"/>
  <c r="D13" i="14" s="1"/>
  <c r="D106" i="2"/>
  <c r="D12" i="14" s="1"/>
  <c r="C106" i="2"/>
  <c r="D11" i="14" s="1"/>
  <c r="B106" i="2"/>
  <c r="D10" i="14" s="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C114" i="1"/>
  <c r="A115" i="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S114" i="1"/>
  <c r="R114" i="1"/>
  <c r="Q114" i="1"/>
  <c r="Q218" i="1" s="1"/>
  <c r="P114" i="1"/>
  <c r="O114" i="1"/>
  <c r="N114" i="1"/>
  <c r="M114" i="1"/>
  <c r="L114" i="1"/>
  <c r="K114" i="1"/>
  <c r="J114" i="1"/>
  <c r="I114" i="1"/>
  <c r="I218" i="1" s="1"/>
  <c r="H114" i="1"/>
  <c r="G114" i="1"/>
  <c r="F114" i="1"/>
  <c r="E114" i="1"/>
  <c r="E218" i="1" s="1"/>
  <c r="D114" i="1"/>
  <c r="G218" i="1" l="1"/>
  <c r="K218" i="1"/>
  <c r="O218" i="1"/>
  <c r="S218" i="1"/>
  <c r="M218" i="1"/>
  <c r="F218" i="1"/>
  <c r="J218" i="1"/>
  <c r="N218" i="1"/>
  <c r="R218" i="1"/>
  <c r="D218" i="1"/>
  <c r="H218" i="1"/>
  <c r="L218" i="1"/>
  <c r="P218" i="1"/>
  <c r="C218" i="1"/>
  <c r="C98" i="14"/>
  <c r="D81" i="14" s="1"/>
  <c r="C54" i="14"/>
  <c r="D16" i="14"/>
  <c r="C58" i="14"/>
  <c r="D20" i="14"/>
  <c r="C57" i="14"/>
  <c r="D19" i="14"/>
  <c r="C55" i="14"/>
  <c r="D17" i="14"/>
  <c r="D22" i="14"/>
  <c r="C59" i="14"/>
  <c r="C41" i="14"/>
  <c r="C49" i="14"/>
  <c r="C34" i="14"/>
  <c r="C53" i="14"/>
  <c r="D15" i="14"/>
  <c r="C69" i="14"/>
  <c r="C44" i="14"/>
  <c r="C38" i="14"/>
  <c r="C36" i="14"/>
  <c r="C43" i="14"/>
  <c r="C51" i="14"/>
  <c r="C33" i="14"/>
  <c r="C52" i="14"/>
  <c r="D14" i="14"/>
  <c r="C39" i="14"/>
  <c r="C56" i="14"/>
  <c r="C45" i="14"/>
  <c r="C35" i="14"/>
  <c r="C42" i="14"/>
  <c r="C50" i="14"/>
  <c r="C115" i="11"/>
  <c r="C75" i="11"/>
  <c r="D18" i="11"/>
  <c r="C49" i="11" s="1"/>
  <c r="D15" i="11"/>
  <c r="D23" i="11"/>
  <c r="C64" i="11" s="1"/>
  <c r="D16" i="11"/>
  <c r="C47" i="11" s="1"/>
  <c r="D35" i="11"/>
  <c r="C44" i="11" s="1"/>
  <c r="D17" i="11"/>
  <c r="C41" i="11" s="1"/>
  <c r="C90" i="11"/>
  <c r="C94" i="11"/>
  <c r="C98" i="11"/>
  <c r="B107" i="11"/>
  <c r="C112" i="11"/>
  <c r="C125" i="11"/>
  <c r="C91" i="11"/>
  <c r="C95" i="11"/>
  <c r="C99" i="11"/>
  <c r="C103" i="11"/>
  <c r="C92" i="11"/>
  <c r="C96" i="11"/>
  <c r="C100" i="11"/>
  <c r="C104" i="11"/>
  <c r="C110" i="11"/>
  <c r="C93" i="11"/>
  <c r="C97" i="11"/>
  <c r="C101" i="11"/>
  <c r="C105" i="11"/>
  <c r="C111" i="11"/>
  <c r="C117" i="11"/>
  <c r="B95" i="7"/>
  <c r="B108" i="11"/>
  <c r="C101" i="7"/>
  <c r="C114" i="11"/>
  <c r="C58" i="7"/>
  <c r="D24" i="11"/>
  <c r="C65" i="11"/>
  <c r="C56" i="7"/>
  <c r="D22" i="11"/>
  <c r="C63" i="11"/>
  <c r="C60" i="7"/>
  <c r="D27" i="11"/>
  <c r="C67" i="11"/>
  <c r="C53" i="7"/>
  <c r="C60" i="11"/>
  <c r="D19" i="11"/>
  <c r="C54" i="7"/>
  <c r="D20" i="11"/>
  <c r="C61" i="11"/>
  <c r="C55" i="7"/>
  <c r="C62" i="11"/>
  <c r="D21" i="11"/>
  <c r="C66" i="11"/>
  <c r="D25" i="11"/>
  <c r="D21" i="7"/>
  <c r="C59" i="7"/>
  <c r="D16" i="9"/>
  <c r="B37" i="9" s="1"/>
  <c r="D11" i="7"/>
  <c r="D24" i="9"/>
  <c r="B44" i="9" s="1"/>
  <c r="D19" i="7"/>
  <c r="C57" i="7" s="1"/>
  <c r="D17" i="9"/>
  <c r="B46" i="9" s="1"/>
  <c r="D12" i="7"/>
  <c r="C50" i="7" s="1"/>
  <c r="D33" i="9"/>
  <c r="B49" i="9" s="1"/>
  <c r="D28" i="7"/>
  <c r="C66" i="7" s="1"/>
  <c r="D20" i="9"/>
  <c r="D15" i="7"/>
  <c r="D21" i="9"/>
  <c r="D16" i="7"/>
  <c r="D25" i="9"/>
  <c r="D20" i="7"/>
  <c r="D18" i="9"/>
  <c r="B47" i="9" s="1"/>
  <c r="D13" i="7"/>
  <c r="C51" i="7" s="1"/>
  <c r="D22" i="9"/>
  <c r="D17" i="7"/>
  <c r="D19" i="9"/>
  <c r="B40" i="9" s="1"/>
  <c r="D14" i="7"/>
  <c r="C52" i="7" s="1"/>
  <c r="D23" i="9"/>
  <c r="D18" i="7"/>
  <c r="D27" i="9"/>
  <c r="D22" i="7"/>
  <c r="C67" i="9"/>
  <c r="C92" i="7"/>
  <c r="C53" i="9"/>
  <c r="C78" i="7"/>
  <c r="C57" i="9"/>
  <c r="C82" i="7"/>
  <c r="C61" i="9"/>
  <c r="C86" i="7"/>
  <c r="C65" i="9"/>
  <c r="C90" i="7"/>
  <c r="B70" i="9"/>
  <c r="C55" i="9"/>
  <c r="C80" i="7"/>
  <c r="C59" i="9"/>
  <c r="C84" i="7"/>
  <c r="C63" i="9"/>
  <c r="D91" i="9" s="1"/>
  <c r="C88" i="7"/>
  <c r="C73" i="9"/>
  <c r="C98" i="7"/>
  <c r="C79" i="9"/>
  <c r="C104" i="7"/>
  <c r="C52" i="9"/>
  <c r="C77" i="7"/>
  <c r="C56" i="9"/>
  <c r="C81" i="7"/>
  <c r="C60" i="9"/>
  <c r="C85" i="7"/>
  <c r="B69" i="9"/>
  <c r="B94" i="7"/>
  <c r="C74" i="9"/>
  <c r="C99" i="7"/>
  <c r="C81" i="9"/>
  <c r="C108" i="7"/>
  <c r="C54" i="9"/>
  <c r="C79" i="7"/>
  <c r="C58" i="9"/>
  <c r="C83" i="7"/>
  <c r="C62" i="9"/>
  <c r="C87" i="7"/>
  <c r="C66" i="9"/>
  <c r="C91" i="7"/>
  <c r="C72" i="9"/>
  <c r="C97" i="7"/>
  <c r="C77" i="9"/>
  <c r="C102" i="7"/>
  <c r="Y106" i="2"/>
  <c r="C76" i="9"/>
  <c r="K106" i="1"/>
  <c r="C52" i="4"/>
  <c r="C56" i="4"/>
  <c r="C60" i="4"/>
  <c r="C64" i="4"/>
  <c r="B69" i="4"/>
  <c r="C74" i="4"/>
  <c r="C83" i="4"/>
  <c r="C53" i="4"/>
  <c r="C57" i="4"/>
  <c r="C61" i="4"/>
  <c r="C65" i="4"/>
  <c r="B70" i="4"/>
  <c r="C76" i="4"/>
  <c r="C54" i="4"/>
  <c r="C58" i="4"/>
  <c r="C62" i="4"/>
  <c r="C66" i="4"/>
  <c r="C72" i="4"/>
  <c r="C77" i="4"/>
  <c r="C55" i="4"/>
  <c r="C59" i="4"/>
  <c r="C63" i="4"/>
  <c r="C67" i="4"/>
  <c r="C73" i="4"/>
  <c r="C79" i="4"/>
  <c r="D23" i="4"/>
  <c r="D16" i="4"/>
  <c r="B37" i="4" s="1"/>
  <c r="D20" i="4"/>
  <c r="D24" i="4"/>
  <c r="B51" i="4" s="1"/>
  <c r="D27" i="4"/>
  <c r="D17" i="4"/>
  <c r="B46" i="4" s="1"/>
  <c r="D21" i="4"/>
  <c r="D25" i="4"/>
  <c r="D33" i="4"/>
  <c r="B49" i="4" s="1"/>
  <c r="D19" i="4"/>
  <c r="B40" i="4" s="1"/>
  <c r="D18" i="4"/>
  <c r="B39" i="4" s="1"/>
  <c r="D22" i="4"/>
  <c r="D26" i="4"/>
  <c r="D93" i="4"/>
  <c r="B170" i="1"/>
  <c r="B162" i="1"/>
  <c r="B158" i="1"/>
  <c r="B154" i="1"/>
  <c r="B150" i="1"/>
  <c r="B146" i="1"/>
  <c r="B142" i="1"/>
  <c r="B134" i="1"/>
  <c r="B130" i="1"/>
  <c r="B126" i="1"/>
  <c r="B122" i="1"/>
  <c r="B118" i="1"/>
  <c r="B114" i="1"/>
  <c r="B169" i="1"/>
  <c r="B165" i="1"/>
  <c r="B161" i="1"/>
  <c r="B157" i="1"/>
  <c r="B153" i="1"/>
  <c r="B149" i="1"/>
  <c r="B145" i="1"/>
  <c r="B141" i="1"/>
  <c r="B133" i="1"/>
  <c r="B129" i="1"/>
  <c r="B125" i="1"/>
  <c r="B121" i="1"/>
  <c r="B117" i="1"/>
  <c r="B168" i="1"/>
  <c r="B164" i="1"/>
  <c r="B160" i="1"/>
  <c r="B156" i="1"/>
  <c r="B152" i="1"/>
  <c r="B148" i="1"/>
  <c r="B144" i="1"/>
  <c r="B140" i="1"/>
  <c r="B136" i="1"/>
  <c r="B132" i="1"/>
  <c r="B128" i="1"/>
  <c r="B124" i="1"/>
  <c r="B120" i="1"/>
  <c r="B116" i="1"/>
  <c r="B171" i="1"/>
  <c r="B167" i="1"/>
  <c r="B163" i="1"/>
  <c r="B159" i="1"/>
  <c r="B155" i="1"/>
  <c r="B151" i="1"/>
  <c r="B147" i="1"/>
  <c r="B143" i="1"/>
  <c r="B139" i="1"/>
  <c r="B135" i="1"/>
  <c r="B131" i="1"/>
  <c r="B127" i="1"/>
  <c r="B123" i="1"/>
  <c r="B119" i="1"/>
  <c r="B115" i="1"/>
  <c r="B138" i="1"/>
  <c r="B137" i="1"/>
  <c r="A166" i="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B166" i="1"/>
  <c r="AK106" i="3"/>
  <c r="B226" i="1" l="1"/>
  <c r="B225" i="1"/>
  <c r="B227" i="1"/>
  <c r="B218" i="1"/>
  <c r="B38" i="9"/>
  <c r="D30" i="14"/>
  <c r="A118" i="14" s="1"/>
  <c r="D46" i="14"/>
  <c r="D32" i="14"/>
  <c r="D74" i="14" s="1"/>
  <c r="D40" i="14"/>
  <c r="D75" i="14" s="1"/>
  <c r="B42" i="9"/>
  <c r="C50" i="11"/>
  <c r="C42" i="11"/>
  <c r="C77" i="11"/>
  <c r="C59" i="11"/>
  <c r="C57" i="11"/>
  <c r="C40" i="11"/>
  <c r="C39" i="11"/>
  <c r="D36" i="11"/>
  <c r="A126" i="11" s="1"/>
  <c r="C51" i="11"/>
  <c r="C58" i="11"/>
  <c r="C48" i="11"/>
  <c r="C45" i="11"/>
  <c r="C106" i="11"/>
  <c r="D89" i="11" s="1"/>
  <c r="D47" i="7"/>
  <c r="D75" i="7" s="1"/>
  <c r="B48" i="9"/>
  <c r="C68" i="9"/>
  <c r="B51" i="9"/>
  <c r="D29" i="7"/>
  <c r="C44" i="7"/>
  <c r="C37" i="7"/>
  <c r="B39" i="9"/>
  <c r="C33" i="7"/>
  <c r="C41" i="7"/>
  <c r="C32" i="7"/>
  <c r="C43" i="7"/>
  <c r="C35" i="7"/>
  <c r="C42" i="7"/>
  <c r="C34" i="7"/>
  <c r="C46" i="7"/>
  <c r="C39" i="7"/>
  <c r="C93" i="7"/>
  <c r="D76" i="7" s="1"/>
  <c r="B48" i="4"/>
  <c r="C68" i="4"/>
  <c r="B42" i="4"/>
  <c r="B47" i="4"/>
  <c r="B38" i="4"/>
  <c r="D34" i="4"/>
  <c r="B44" i="4"/>
  <c r="B228" i="1" l="1"/>
  <c r="D76" i="14"/>
  <c r="D80" i="14"/>
  <c r="D118" i="14" s="1"/>
  <c r="D70" i="14"/>
  <c r="C36" i="9"/>
  <c r="D38" i="11"/>
  <c r="D82" i="11" s="1"/>
  <c r="D52" i="11"/>
  <c r="D88" i="11" s="1"/>
  <c r="D46" i="11"/>
  <c r="D83" i="11" s="1"/>
  <c r="C45" i="9"/>
  <c r="D110" i="7"/>
  <c r="D40" i="7"/>
  <c r="D31" i="7"/>
  <c r="C45" i="4"/>
  <c r="C36" i="4"/>
  <c r="D82" i="9" l="1"/>
  <c r="D78" i="11"/>
  <c r="D126" i="11"/>
  <c r="I129" i="11" s="1"/>
  <c r="D84" i="11"/>
  <c r="D71" i="7"/>
  <c r="D67" i="7"/>
  <c r="D70" i="7"/>
  <c r="D84" i="4"/>
  <c r="D85" i="4" s="1"/>
  <c r="D72" i="7" l="1"/>
  <c r="A110" i="7"/>
  <c r="A85" i="4"/>
  <c r="D34" i="9" l="1"/>
  <c r="D83" i="9" s="1"/>
  <c r="A83" i="9" l="1"/>
</calcChain>
</file>

<file path=xl/sharedStrings.xml><?xml version="1.0" encoding="utf-8"?>
<sst xmlns="http://schemas.openxmlformats.org/spreadsheetml/2006/main" count="436" uniqueCount="184">
  <si>
    <t>TITHE</t>
  </si>
  <si>
    <t>SYSTEMATIC OFFERING</t>
  </si>
  <si>
    <t>THANKS OFFERING</t>
  </si>
  <si>
    <t>LOOSE OFFERING</t>
  </si>
  <si>
    <t>WELFARE</t>
  </si>
  <si>
    <t>OTHERS</t>
  </si>
  <si>
    <t>ANNUAL HARVEST</t>
  </si>
  <si>
    <t>TOTAL</t>
  </si>
  <si>
    <t>BIBLE SOCIETY  HARVEST</t>
  </si>
  <si>
    <t>CONF 40%</t>
  </si>
  <si>
    <t>DISTRICT 10%</t>
  </si>
  <si>
    <t>LOCAL 50%</t>
  </si>
  <si>
    <t>CONF %</t>
  </si>
  <si>
    <t>DIST  %</t>
  </si>
  <si>
    <t>LOCAL %</t>
  </si>
  <si>
    <t>CONF 10%</t>
  </si>
  <si>
    <t>LOCAL 80%</t>
  </si>
  <si>
    <t>LOCAL FUNDS</t>
  </si>
  <si>
    <t>CONF 1/3</t>
  </si>
  <si>
    <t>DIST 1/3</t>
  </si>
  <si>
    <t>Total</t>
  </si>
  <si>
    <t>DATE</t>
  </si>
  <si>
    <t>CONFERENCE FUNDS</t>
  </si>
  <si>
    <t>DISTRICT FUNDS</t>
  </si>
  <si>
    <t>LOCAL</t>
  </si>
  <si>
    <t>WELFARE DUES</t>
  </si>
  <si>
    <t>HARVEST</t>
  </si>
  <si>
    <t>SELLING OF TREES</t>
  </si>
  <si>
    <t>BIBLE SOCIETY HARVEST</t>
  </si>
  <si>
    <t>DONATIONS</t>
  </si>
  <si>
    <t>FUND RAISING / SPECIAL HARVEST</t>
  </si>
  <si>
    <t>ZONAL CONTRIBUTION</t>
  </si>
  <si>
    <t>WOMEN MINISTRY HARVEST</t>
  </si>
  <si>
    <t>FOOD, WATER AND DRINKS</t>
  </si>
  <si>
    <t>COVID 19  ITEMS</t>
  </si>
  <si>
    <t>TRANSPORTATION</t>
  </si>
  <si>
    <t>DONATION</t>
  </si>
  <si>
    <t>PRINTING &amp; BOOKS</t>
  </si>
  <si>
    <t>SABBATH SCHOOL</t>
  </si>
  <si>
    <t>RENOVATION TEACHERS BUNGALOW</t>
  </si>
  <si>
    <t>MECHANISED WATER PROJECT</t>
  </si>
  <si>
    <t>WAGES (NURSERY)</t>
  </si>
  <si>
    <t>BEAUTIFICATION OF CHURCH &amp; SCHOOL COMPOUND</t>
  </si>
  <si>
    <t>AYS (T&amp;T, Others)</t>
  </si>
  <si>
    <t>CHOIR (T&amp;T, Others</t>
  </si>
  <si>
    <t>SINGING BAND (T&amp;T, Others)</t>
  </si>
  <si>
    <t>WOMEN MINSTRY (T&amp;T, Others</t>
  </si>
  <si>
    <t>MAITENANCE / REPAIRS</t>
  </si>
  <si>
    <t>LORD'S SUPPER</t>
  </si>
  <si>
    <t>LOAN (REPAYMENT</t>
  </si>
  <si>
    <t>HARVEST EXPENDITURE</t>
  </si>
  <si>
    <t>ELECTRICITY</t>
  </si>
  <si>
    <t>POST  OFFICE</t>
  </si>
  <si>
    <t>MISCELLANEOUS (Soap, Washing Powder, Others)</t>
  </si>
  <si>
    <t>SEVENTH-DAY ADVENTIST CHURCH</t>
  </si>
  <si>
    <t>SAKORA WONOO</t>
  </si>
  <si>
    <t xml:space="preserve"> </t>
  </si>
  <si>
    <t>GH¢</t>
  </si>
  <si>
    <t>INCOME</t>
  </si>
  <si>
    <t>BAL B/F</t>
  </si>
  <si>
    <t>ST JOSEPH T.W. CREDIT UNION</t>
  </si>
  <si>
    <t>SEKYERE RURAL BANK</t>
  </si>
  <si>
    <t>HERITAGE FUND (INVESTMENT)</t>
  </si>
  <si>
    <t>CASH IN HAND</t>
  </si>
  <si>
    <t>FEES (NURSERY)</t>
  </si>
  <si>
    <t>INTEREST ON SAVINGS</t>
  </si>
  <si>
    <t>RENT (TEACHERS' BUNGALOW)</t>
  </si>
  <si>
    <t>PAYMENTS</t>
  </si>
  <si>
    <t>EVANGELISM (HARVEST)</t>
  </si>
  <si>
    <t>WELFARE SERVICES</t>
  </si>
  <si>
    <t>SUMMARY</t>
  </si>
  <si>
    <t>CASH AT HAND</t>
  </si>
  <si>
    <t>CASH AT BANK:</t>
  </si>
  <si>
    <t>ST. JOSEPH</t>
  </si>
  <si>
    <t>SRB (MTG)</t>
  </si>
  <si>
    <t>HERRITAGE FUND</t>
  </si>
  <si>
    <t>PREPARED BY: TREASURER</t>
  </si>
  <si>
    <t>APPROVED BY:</t>
  </si>
  <si>
    <t>EMMANUEL AFRIFA ANTWI</t>
  </si>
  <si>
    <t>ELD. EMMANUEL K. BANDELE</t>
  </si>
  <si>
    <t>WEEK</t>
  </si>
  <si>
    <t>AMOUNT</t>
  </si>
  <si>
    <t>RENT</t>
  </si>
  <si>
    <t>BANK CHARGES</t>
  </si>
  <si>
    <t>AMM HARVEST</t>
  </si>
  <si>
    <t>AMM (T&amp;T, Others)</t>
  </si>
  <si>
    <t>DISTRICT FUND</t>
  </si>
  <si>
    <t>CONFERENCE FUND</t>
  </si>
  <si>
    <t>WASHROOM PROJECT</t>
  </si>
  <si>
    <t>CARE FOR THE AGED &amp; SICK</t>
  </si>
  <si>
    <t>FROM</t>
  </si>
  <si>
    <t>TO</t>
  </si>
  <si>
    <t xml:space="preserve">STATEMENT OF ACCOUNTS FOR THE PERIOD </t>
  </si>
  <si>
    <t>RECEIPT NUMBER FROM</t>
  </si>
  <si>
    <t>106486-106500</t>
  </si>
  <si>
    <t>197501-197518</t>
  </si>
  <si>
    <t xml:space="preserve">GH¢ </t>
  </si>
  <si>
    <t xml:space="preserve">GH¢  </t>
  </si>
  <si>
    <t>WEEKLY SUMMARY</t>
  </si>
  <si>
    <t>ENTER AMOUNT FOR TITHE,SYSTEMATIC, ETC AND ALL COLUMNS IN THE FIRST TABLE</t>
  </si>
  <si>
    <t>IN THE OTHERS COLUMN, ADD ANY CATEGORY OF INCOME THAT DOES NOT HAVE A COLUMN IN THE TABLE AND MOVE TO THE INCOME TAB TO ENTER SUCH INCOME IN THEIR RIGHTFUL COLUMNS</t>
  </si>
  <si>
    <t>TABLE 1</t>
  </si>
  <si>
    <t>TABLE 2</t>
  </si>
  <si>
    <t>TABLE 2 IS SUMMARY OF TABLE 1 ENTRIES. IT PARTITIONS ALL INCOMES INTO HOW THEY SHOULD BE REPORTED TO THE CONFERENCE, DISTRICT AND LOCAL</t>
  </si>
  <si>
    <t>TABLE 3</t>
  </si>
  <si>
    <t>SHOWS SUMMARY OF AMOUNT TO BE REPORTED FOR CONFERENCE, DISTRICT AND LOCAL ACCORDING TO THE PERIOD (DATES) SELECTED IN TABLE 2</t>
  </si>
  <si>
    <t>IT AUTOMATICALLY FILLS WHEN TABLE 1 IS FILLED. HOWEVER, FOR CATEGORIES OF INCOME NOT SPECIFIED IN TABLE 1, YOU WILL HAVE TO MANUALLY INPUT THEM HERE UNDER THE CORRECT HEADINGS OR CREATE A NEW COLUMN FOR SUCH CATEGORIES. DO NOT FORGET TO CHECK THE TOTAL COLUMN HAS CAPTURED THE NEW COLUMN YOU CREATED.</t>
  </si>
  <si>
    <t>ALWAYS CHECK THE TOTAL IN TABLE 1 AND THE TOTAL IN THE INCOME TAB FOR EACH WEEKLY INPUT. THE TOTALS SHOULD BALANCE, ELSE GO THROUGH THE ENTRIES AGAIN TO CORRECT THEM</t>
  </si>
  <si>
    <t>EXPENDITURE</t>
  </si>
  <si>
    <t>ENTER ALL EXPENSES FOR THE PERIOD HERE</t>
  </si>
  <si>
    <t>INCOME AND EXPENDITURE</t>
  </si>
  <si>
    <t>THIS IS AN AUTO GENERATED ACCOUNT FOR DATES SELECTED IN BOTH INCOME AND EXPENDITURE TABS.  MAKE SURE ALL CATEGORIES SHOW TO REFLECT THE CORRECT BALANCES FOR EACH SECTION. SOME ITEMS NEEDS TO BE ENTERED MANUALLY</t>
  </si>
  <si>
    <t>RECEIPT NUMBERS</t>
  </si>
  <si>
    <t>ENTER THE RECEIPT NUMBERS USED TO RECORD ALL INCOMES FOR THE WEEK HERE</t>
  </si>
  <si>
    <t>HERITAGE</t>
  </si>
  <si>
    <t>ENTER ALL HERITAGE FUNDS PAYMENTS HERE WITH DATES</t>
  </si>
  <si>
    <t>PRINT WEEKLY</t>
  </si>
  <si>
    <t>SELECT THE DATE (WEEK) FOR EACH PERIOD (SAME DATES FOR INCOME AND EXPENDITURE TABS) TO GENERATE THE WEEKLY REPORTS. THIS IS AN EXTRACT FOR THE INCOME AND EXPENTIDURE TAB. THIS GIVES YOU THE WEEKLY OVERVIEW FOR PRINTING.</t>
  </si>
  <si>
    <t>197749 - 197750</t>
  </si>
  <si>
    <t>219251 - 219277</t>
  </si>
  <si>
    <t>LOAN</t>
  </si>
  <si>
    <t>NURSERY</t>
  </si>
  <si>
    <t>158501-158536</t>
  </si>
  <si>
    <t>219484-219499</t>
  </si>
  <si>
    <t>CHOIR</t>
  </si>
  <si>
    <t>STATEMENT OF ACCOUNTS FOR THE PERIOD 1ST JANUARY, 2023  TO 1ST APRIL, 2023</t>
  </si>
  <si>
    <t>180241 - 180250</t>
  </si>
  <si>
    <t>181001 - 181022</t>
  </si>
  <si>
    <t>STATEMENT OF ACCOUNTS FOR THE PERIOD 2ND APRIL, 2023 TO 1ST JULY, 2023</t>
  </si>
  <si>
    <t>181243 - 181250</t>
  </si>
  <si>
    <t>121751 -121781</t>
  </si>
  <si>
    <t>PROJECTOR</t>
  </si>
  <si>
    <t>CAMP MEETING</t>
  </si>
  <si>
    <t>HOME COMING</t>
  </si>
  <si>
    <t>SABBATH SCHOOL OFFERING</t>
  </si>
  <si>
    <t>121995 - 122000</t>
  </si>
  <si>
    <t>336501-336529</t>
  </si>
  <si>
    <t>180001 - 180003</t>
  </si>
  <si>
    <t>TRADITIONAL DAY</t>
  </si>
  <si>
    <t>120977 - 121000</t>
  </si>
  <si>
    <t>158749 - 158750</t>
  </si>
  <si>
    <t>120751-120786</t>
  </si>
  <si>
    <t>LOCAL CHURCH FUNDS</t>
  </si>
  <si>
    <t>GRAND TOTAL</t>
  </si>
  <si>
    <t>PAYMENTS/EXPENSES FOR THE WEEK</t>
  </si>
  <si>
    <t>ITEM</t>
  </si>
  <si>
    <t>ALLOCATION</t>
  </si>
  <si>
    <t>CONFERENCE</t>
  </si>
  <si>
    <t>DISTRICT</t>
  </si>
  <si>
    <t>EXPENSES OFFERING</t>
  </si>
  <si>
    <t xml:space="preserve">  </t>
  </si>
  <si>
    <t>336746 -336750</t>
  </si>
  <si>
    <t>350001 -350023</t>
  </si>
  <si>
    <t>EXPENSES</t>
  </si>
  <si>
    <t>TOTAL INCOME</t>
  </si>
  <si>
    <t>TOTAL PAYMENTS</t>
  </si>
  <si>
    <t>PAYMENTS/EXPENSES FOR THE PERIOD</t>
  </si>
  <si>
    <t xml:space="preserve">    </t>
  </si>
  <si>
    <t>CONFERENCE FUNDS (PLUS ANY EXTRA FUNDS)</t>
  </si>
  <si>
    <t>DISTRICT FUNDS (PLUS ANY EXTRA FUNDS)</t>
  </si>
  <si>
    <t>ANNUAL THANKSGIVING/HARVEST</t>
  </si>
  <si>
    <t>CARE FOR THE AGED FUND</t>
  </si>
  <si>
    <t>HERITAGE FUND (INVESTMENT &amp; INTEREST)</t>
  </si>
  <si>
    <t>350248 - 350250</t>
  </si>
  <si>
    <t>336751 -336774</t>
  </si>
  <si>
    <t xml:space="preserve">CONF 40% </t>
  </si>
  <si>
    <t xml:space="preserve">LOCAL 50% </t>
  </si>
  <si>
    <t xml:space="preserve">DISTRICT 10% </t>
  </si>
  <si>
    <t xml:space="preserve">CONF 40%  </t>
  </si>
  <si>
    <t xml:space="preserve">DISTRICT 10%  </t>
  </si>
  <si>
    <t xml:space="preserve">LOCAL 50%  </t>
  </si>
  <si>
    <t xml:space="preserve">DISTRICT 10%   </t>
  </si>
  <si>
    <t xml:space="preserve"> BIBLE SOCIETY HARVEST</t>
  </si>
  <si>
    <t>SINGING BAND</t>
  </si>
  <si>
    <t>424001-424017</t>
  </si>
  <si>
    <t>336986-337000</t>
  </si>
  <si>
    <t>424238-424250</t>
  </si>
  <si>
    <t>423751-423773</t>
  </si>
  <si>
    <t>WELFARE FUNERAL DONATIONS</t>
  </si>
  <si>
    <t>WELFARE OTHER DONATIONS (MARRIAGE, ETC)</t>
  </si>
  <si>
    <t>LOCAL 1/3</t>
  </si>
  <si>
    <t>CHURCH NAME</t>
  </si>
  <si>
    <t>LOCATION</t>
  </si>
  <si>
    <t>STATEMENT OF ACCOUNTS FOR THE PERIOD (enter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</si>
</sst>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_(* \(#,##0.00\);_(* &quot;-&quot;??_);_(@_)"/>
    <numFmt numFmtId="165" formatCode="d/mm/yyyy;@"/>
    <numFmt numFmtId="166" formatCode="m/d/yyyy"/>
    <numFmt numFmtId="167" formatCode="dd/mm/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b/>
      <u/>
      <sz val="11"/>
      <color rgb="FF000000"/>
      <name val="Calibri"/>
      <family val="2"/>
    </font>
    <font>
      <sz val="11"/>
      <color rgb="FF000000"/>
      <name val="Calibri"/>
      <family val="2"/>
    </font>
    <font>
      <b/>
      <sz val="11"/>
      <color rgb="FF000000"/>
      <name val="Calibri"/>
      <family val="2"/>
    </font>
    <font>
      <u/>
      <sz val="11"/>
      <color rgb="FF000000"/>
      <name val="Calibri"/>
      <family val="2"/>
    </font>
    <font>
      <b/>
      <u val="doubleAccounting"/>
      <sz val="11"/>
      <color rgb="FF000000"/>
      <name val="Calibri"/>
      <family val="2"/>
    </font>
    <font>
      <sz val="11"/>
      <name val="Calibri"/>
      <family val="2"/>
    </font>
    <font>
      <sz val="16"/>
      <color rgb="FF000000"/>
      <name val="Calibri"/>
      <family val="2"/>
    </font>
    <font>
      <b/>
      <sz val="16"/>
      <color rgb="FF000000"/>
      <name val="Calibri"/>
      <family val="2"/>
    </font>
    <font>
      <i/>
      <sz val="16"/>
      <color rgb="FF000000"/>
      <name val="Calibri"/>
      <family val="2"/>
    </font>
    <font>
      <b/>
      <u val="singleAccounting"/>
      <sz val="16"/>
      <color rgb="FF000000"/>
      <name val="Calibri"/>
      <family val="2"/>
    </font>
    <font>
      <b/>
      <u val="doubleAccounting"/>
      <sz val="16"/>
      <color rgb="FF000000"/>
      <name val="Calibri"/>
      <family val="2"/>
    </font>
    <font>
      <u/>
      <sz val="22"/>
      <color rgb="FF000000"/>
      <name val="Calibri"/>
      <family val="2"/>
    </font>
    <font>
      <b/>
      <sz val="20"/>
      <color rgb="FF000000"/>
      <name val="Calibri"/>
      <family val="2"/>
    </font>
    <font>
      <sz val="22"/>
      <color rgb="FF000000"/>
      <name val="Calibri"/>
      <family val="2"/>
    </font>
    <font>
      <u val="singleAccounting"/>
      <sz val="22"/>
      <color rgb="FF000000"/>
      <name val="Calibri"/>
      <family val="2"/>
    </font>
    <font>
      <u val="singleAccounting"/>
      <sz val="20"/>
      <color rgb="FF000000"/>
      <name val="Calibri"/>
      <family val="2"/>
    </font>
    <font>
      <u/>
      <sz val="20"/>
      <color rgb="FF000000"/>
      <name val="Calibri"/>
      <family val="2"/>
    </font>
    <font>
      <sz val="20"/>
      <color rgb="FF000000"/>
      <name val="Calibri"/>
      <family val="2"/>
    </font>
    <font>
      <b/>
      <sz val="22"/>
      <color rgb="FF000000"/>
      <name val="Calibri"/>
      <family val="2"/>
    </font>
    <font>
      <b/>
      <u val="doubleAccounting"/>
      <sz val="22"/>
      <color rgb="FF000000"/>
      <name val="Calibri"/>
      <family val="2"/>
    </font>
    <font>
      <u val="singleAccounting"/>
      <sz val="16"/>
      <color rgb="FF000000"/>
      <name val="Calibri"/>
      <family val="2"/>
    </font>
    <font>
      <sz val="11"/>
      <color rgb="FFFF0000"/>
      <name val="Calibri"/>
      <family val="2"/>
    </font>
    <font>
      <u/>
      <sz val="14"/>
      <color rgb="FF000000"/>
      <name val="Calibri"/>
      <family val="2"/>
    </font>
    <font>
      <sz val="14"/>
      <color rgb="FF000000"/>
      <name val="Calibri"/>
      <family val="2"/>
    </font>
    <font>
      <b/>
      <sz val="14"/>
      <color rgb="FF000000"/>
      <name val="Calibri"/>
      <family val="2"/>
    </font>
    <font>
      <u val="singleAccounting"/>
      <sz val="14"/>
      <color rgb="FF000000"/>
      <name val="Calibri"/>
      <family val="2"/>
    </font>
    <font>
      <u/>
      <sz val="12"/>
      <color rgb="FF000000"/>
      <name val="Calibri"/>
      <family val="2"/>
    </font>
    <font>
      <sz val="12"/>
      <color rgb="FF000000"/>
      <name val="Calibri"/>
      <family val="2"/>
    </font>
    <font>
      <b/>
      <sz val="12"/>
      <color rgb="FF000000"/>
      <name val="Calibri"/>
      <family val="2"/>
    </font>
    <font>
      <u val="singleAccounting"/>
      <sz val="12"/>
      <color rgb="FF000000"/>
      <name val="Calibri"/>
      <family val="2"/>
    </font>
    <font>
      <i/>
      <sz val="12"/>
      <color rgb="FF000000"/>
      <name val="Calibri"/>
      <family val="2"/>
    </font>
    <font>
      <b/>
      <u val="singleAccounting"/>
      <sz val="12"/>
      <color rgb="FF000000"/>
      <name val="Calibri"/>
      <family val="2"/>
    </font>
    <font>
      <b/>
      <u val="doubleAccounting"/>
      <sz val="12"/>
      <color rgb="FF000000"/>
      <name val="Calibri"/>
      <family val="2"/>
    </font>
    <font>
      <sz val="11"/>
      <color rgb="FF000000"/>
      <name val="Calibri"/>
      <family val="2"/>
    </font>
    <font>
      <sz val="11"/>
      <color theme="1"/>
      <name val="Calibri"/>
      <family val="2"/>
      <scheme val="minor"/>
    </font>
    <font>
      <b/>
      <sz val="11"/>
      <color rgb="FF000000"/>
      <name val="Calibri"/>
      <family val="2"/>
    </font>
    <font>
      <b/>
      <sz val="11"/>
      <color theme="1"/>
      <name val="Calibri"/>
      <family val="2"/>
      <scheme val="minor"/>
    </font>
    <font>
      <sz val="11"/>
      <name val="Calibri"/>
      <family val="2"/>
    </font>
    <font>
      <sz val="12"/>
      <color rgb="FF000000"/>
      <name val="Calibri"/>
      <family val="2"/>
    </font>
    <font>
      <sz val="16"/>
      <color rgb="FF000000"/>
      <name val="Calibri"/>
      <family val="2"/>
    </font>
    <font>
      <b/>
      <u val="doubleAccounting"/>
      <sz val="20"/>
      <color rgb="FF000000"/>
      <name val="Calibri"/>
      <family val="2"/>
    </font>
    <font>
      <b/>
      <u val="doubleAccounting"/>
      <sz val="18"/>
      <color rgb="FF000000"/>
      <name val="Calibri"/>
      <family val="2"/>
    </font>
    <font>
      <sz val="8"/>
      <name val="Calibri"/>
      <family val="2"/>
      <scheme val="minor"/>
    </font>
    <font>
      <sz val="22"/>
      <name val="Calibri"/>
      <family val="2"/>
    </font>
    <font>
      <b/>
      <sz val="12"/>
      <color rgb="FFFF0000"/>
      <name val="Adca"/>
    </font>
    <font>
      <sz val="12"/>
      <color rgb="FF00CCFF"/>
      <name val="Adca"/>
    </font>
    <font>
      <sz val="12"/>
      <color rgb="FF000000"/>
      <name val="Adca"/>
    </font>
    <font>
      <sz val="12"/>
      <color rgb="FFFF9900"/>
      <name val="Adca"/>
    </font>
    <font>
      <sz val="12"/>
      <color rgb="FFFF0000"/>
      <name val="Adca"/>
    </font>
    <font>
      <sz val="12"/>
      <color rgb="FF008000"/>
      <name val="Adca"/>
    </font>
  </fonts>
  <fills count="21">
    <fill>
      <patternFill patternType="none"/>
    </fill>
    <fill>
      <patternFill patternType="gray125"/>
    </fill>
    <fill>
      <patternFill patternType="solid">
        <fgColor rgb="FFDEEAF6"/>
        <bgColor rgb="FFDEEAF6"/>
      </patternFill>
    </fill>
    <fill>
      <patternFill patternType="solid">
        <fgColor rgb="FFFFFF00"/>
        <bgColor indexed="64"/>
      </patternFill>
    </fill>
    <fill>
      <patternFill patternType="solid">
        <fgColor rgb="FFFF0000"/>
        <bgColor rgb="FFDEEAF6"/>
      </patternFill>
    </fill>
    <fill>
      <patternFill patternType="solid">
        <fgColor rgb="FFC9C9C9"/>
        <bgColor indexed="64"/>
      </patternFill>
    </fill>
    <fill>
      <patternFill patternType="solid">
        <fgColor rgb="FF7030A0"/>
        <bgColor indexed="64"/>
      </patternFill>
    </fill>
    <fill>
      <patternFill patternType="solid">
        <fgColor rgb="FF1F4E79"/>
        <bgColor indexed="64"/>
      </patternFill>
    </fill>
    <fill>
      <patternFill patternType="solid">
        <fgColor rgb="FFFF0000"/>
        <bgColor indexed="64"/>
      </patternFill>
    </fill>
    <fill>
      <patternFill patternType="solid">
        <fgColor rgb="FFBED7EE"/>
        <bgColor indexed="64"/>
      </patternFill>
    </fill>
    <fill>
      <patternFill patternType="solid">
        <fgColor rgb="FF5C9BD5"/>
        <bgColor indexed="64"/>
      </patternFill>
    </fill>
    <fill>
      <patternFill patternType="solid">
        <fgColor rgb="FFC55911"/>
        <bgColor indexed="64"/>
      </patternFill>
    </fill>
    <fill>
      <patternFill patternType="solid">
        <fgColor rgb="FF92D050"/>
        <bgColor indexed="64"/>
      </patternFill>
    </fill>
    <fill>
      <patternFill patternType="solid">
        <fgColor rgb="FFFFD865"/>
        <bgColor indexed="64"/>
      </patternFill>
    </fill>
    <fill>
      <patternFill patternType="solid">
        <fgColor rgb="FF70AD46"/>
        <bgColor indexed="64"/>
      </patternFill>
    </fill>
    <fill>
      <patternFill patternType="solid">
        <fgColor rgb="FFFFE598"/>
        <bgColor indexed="64"/>
      </patternFill>
    </fill>
    <fill>
      <patternFill patternType="solid">
        <fgColor rgb="FF00B050"/>
        <bgColor indexed="64"/>
      </patternFill>
    </fill>
    <fill>
      <patternFill patternType="solid">
        <fgColor theme="5"/>
        <bgColor indexed="64"/>
      </patternFill>
    </fill>
    <fill>
      <patternFill patternType="solid">
        <fgColor rgb="FF0070C0"/>
        <bgColor indexed="64"/>
      </patternFill>
    </fill>
    <fill>
      <patternFill patternType="solid">
        <fgColor rgb="FFFFC000"/>
        <bgColor indexed="64"/>
      </patternFill>
    </fill>
    <fill>
      <patternFill patternType="solid">
        <fgColor rgb="FF00B0F0"/>
        <bgColor indexed="64"/>
      </patternFill>
    </fill>
  </fills>
  <borders count="14">
    <border>
      <left/>
      <right/>
      <top/>
      <bottom/>
      <diagonal/>
    </border>
    <border>
      <left/>
      <right/>
      <top style="thin">
        <color rgb="FF9DC3E5"/>
      </top>
      <bottom style="thin">
        <color rgb="FF9DC3E5"/>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auto="1"/>
      </bottom>
      <diagonal/>
    </border>
    <border>
      <left/>
      <right/>
      <top style="thin">
        <color auto="1"/>
      </top>
      <bottom/>
      <diagonal/>
    </border>
  </borders>
  <cellStyleXfs count="4">
    <xf numFmtId="0" fontId="0" fillId="0" borderId="0"/>
    <xf numFmtId="164" fontId="1" fillId="0" borderId="0" applyFont="0" applyFill="0" applyBorder="0" applyAlignment="0" applyProtection="0"/>
    <xf numFmtId="0" fontId="9" fillId="0" borderId="0">
      <alignment vertical="center"/>
    </xf>
    <xf numFmtId="164" fontId="5" fillId="0" borderId="0">
      <alignment vertical="top"/>
      <protection locked="0"/>
    </xf>
  </cellStyleXfs>
  <cellXfs count="286">
    <xf numFmtId="0" fontId="0" fillId="0" borderId="0" xfId="0"/>
    <xf numFmtId="164" fontId="0" fillId="0" borderId="0" xfId="1" applyFont="1"/>
    <xf numFmtId="0" fontId="6" fillId="0" borderId="0" xfId="0" applyFont="1"/>
    <xf numFmtId="164" fontId="6" fillId="0" borderId="0" xfId="0" applyNumberFormat="1" applyFont="1"/>
    <xf numFmtId="164" fontId="2" fillId="0" borderId="0" xfId="1" applyFont="1"/>
    <xf numFmtId="0" fontId="2" fillId="0" borderId="0" xfId="0" applyFont="1"/>
    <xf numFmtId="166" fontId="5" fillId="0" borderId="0" xfId="2" applyNumberFormat="1" applyFont="1" applyAlignment="1"/>
    <xf numFmtId="0" fontId="9" fillId="0" borderId="0" xfId="2">
      <alignment vertical="center"/>
    </xf>
    <xf numFmtId="167" fontId="5" fillId="0" borderId="0" xfId="2" applyNumberFormat="1" applyFont="1" applyAlignment="1"/>
    <xf numFmtId="164" fontId="5" fillId="0" borderId="0" xfId="3" applyAlignment="1" applyProtection="1"/>
    <xf numFmtId="167" fontId="0" fillId="0" borderId="0" xfId="0" applyNumberFormat="1"/>
    <xf numFmtId="0" fontId="9" fillId="0" borderId="0" xfId="2" applyAlignment="1"/>
    <xf numFmtId="0" fontId="5" fillId="0" borderId="0" xfId="2" applyFont="1" applyAlignment="1">
      <alignment wrapText="1"/>
    </xf>
    <xf numFmtId="164" fontId="9" fillId="0" borderId="0" xfId="3" applyFont="1" applyAlignment="1" applyProtection="1"/>
    <xf numFmtId="167" fontId="9" fillId="0" borderId="0" xfId="2" applyNumberFormat="1" applyAlignment="1"/>
    <xf numFmtId="0" fontId="5" fillId="0" borderId="0" xfId="2" applyFont="1" applyAlignment="1"/>
    <xf numFmtId="14" fontId="5" fillId="0" borderId="0" xfId="2" applyNumberFormat="1" applyFont="1" applyAlignment="1"/>
    <xf numFmtId="164" fontId="5" fillId="0" borderId="0" xfId="1" applyFont="1" applyFill="1" applyAlignment="1" applyProtection="1"/>
    <xf numFmtId="164" fontId="9" fillId="0" borderId="0" xfId="1" applyFont="1" applyFill="1" applyAlignment="1" applyProtection="1"/>
    <xf numFmtId="164" fontId="5" fillId="0" borderId="0" xfId="1" applyFont="1" applyAlignment="1" applyProtection="1"/>
    <xf numFmtId="164" fontId="9" fillId="0" borderId="0" xfId="1" applyFont="1" applyAlignment="1" applyProtection="1"/>
    <xf numFmtId="0" fontId="9" fillId="0" borderId="0" xfId="2" applyAlignment="1">
      <alignment wrapText="1"/>
    </xf>
    <xf numFmtId="0" fontId="9" fillId="0" borderId="0" xfId="2" applyAlignment="1">
      <alignment horizontal="center" wrapText="1"/>
    </xf>
    <xf numFmtId="0" fontId="10" fillId="0" borderId="0" xfId="2" applyFont="1" applyAlignment="1"/>
    <xf numFmtId="164" fontId="10" fillId="0" borderId="0" xfId="3" applyFont="1" applyAlignment="1" applyProtection="1"/>
    <xf numFmtId="0" fontId="21" fillId="0" borderId="0" xfId="2" applyFont="1" applyAlignment="1"/>
    <xf numFmtId="164" fontId="10" fillId="0" borderId="0" xfId="1" applyFont="1" applyAlignment="1"/>
    <xf numFmtId="14" fontId="0" fillId="0" borderId="0" xfId="0" applyNumberFormat="1"/>
    <xf numFmtId="0" fontId="10" fillId="0" borderId="2" xfId="2" applyFont="1" applyBorder="1" applyAlignment="1"/>
    <xf numFmtId="0" fontId="10" fillId="0" borderId="2" xfId="2" applyFont="1" applyBorder="1" applyAlignment="1">
      <alignment wrapText="1"/>
    </xf>
    <xf numFmtId="0" fontId="10" fillId="0" borderId="2" xfId="2" applyFont="1" applyBorder="1" applyAlignment="1">
      <alignment horizontal="center" wrapText="1"/>
    </xf>
    <xf numFmtId="0" fontId="10" fillId="0" borderId="2" xfId="2" applyFont="1" applyBorder="1" applyAlignment="1" applyProtection="1">
      <protection hidden="1"/>
    </xf>
    <xf numFmtId="164" fontId="10" fillId="0" borderId="2" xfId="3" applyFont="1" applyBorder="1" applyAlignment="1" applyProtection="1">
      <protection hidden="1"/>
    </xf>
    <xf numFmtId="164" fontId="10" fillId="0" borderId="2" xfId="1" applyFont="1" applyBorder="1" applyAlignment="1" applyProtection="1">
      <protection hidden="1"/>
    </xf>
    <xf numFmtId="0" fontId="11" fillId="0" borderId="5" xfId="2" applyFont="1" applyBorder="1" applyAlignment="1"/>
    <xf numFmtId="0" fontId="11" fillId="0" borderId="5" xfId="2" applyFont="1" applyBorder="1" applyAlignment="1" applyProtection="1">
      <protection hidden="1"/>
    </xf>
    <xf numFmtId="0" fontId="10" fillId="0" borderId="3" xfId="2" applyFont="1" applyBorder="1" applyAlignment="1" applyProtection="1">
      <protection hidden="1"/>
    </xf>
    <xf numFmtId="164" fontId="10" fillId="0" borderId="3" xfId="1" applyFont="1" applyBorder="1" applyAlignment="1" applyProtection="1">
      <protection hidden="1"/>
    </xf>
    <xf numFmtId="164" fontId="24" fillId="0" borderId="3" xfId="1" applyFont="1" applyBorder="1" applyAlignment="1" applyProtection="1">
      <protection hidden="1"/>
    </xf>
    <xf numFmtId="164" fontId="11" fillId="0" borderId="3" xfId="3" applyFont="1" applyBorder="1" applyAlignment="1" applyProtection="1">
      <protection hidden="1"/>
    </xf>
    <xf numFmtId="164" fontId="13" fillId="0" borderId="3" xfId="3" applyFont="1" applyBorder="1" applyAlignment="1" applyProtection="1">
      <protection hidden="1"/>
    </xf>
    <xf numFmtId="0" fontId="10" fillId="0" borderId="6" xfId="2" applyFont="1" applyBorder="1" applyAlignment="1"/>
    <xf numFmtId="0" fontId="10" fillId="0" borderId="7" xfId="2" applyFont="1" applyBorder="1" applyAlignment="1" applyProtection="1">
      <alignment horizontal="center"/>
      <protection hidden="1"/>
    </xf>
    <xf numFmtId="0" fontId="10" fillId="0" borderId="8" xfId="2" applyFont="1" applyBorder="1" applyAlignment="1" applyProtection="1">
      <alignment horizontal="center"/>
      <protection hidden="1"/>
    </xf>
    <xf numFmtId="0" fontId="11" fillId="0" borderId="9" xfId="2" applyFont="1" applyBorder="1" applyAlignment="1" applyProtection="1">
      <protection hidden="1"/>
    </xf>
    <xf numFmtId="164" fontId="10" fillId="0" borderId="10" xfId="3" applyFont="1" applyBorder="1" applyAlignment="1" applyProtection="1">
      <protection hidden="1"/>
    </xf>
    <xf numFmtId="164" fontId="14" fillId="0" borderId="11" xfId="1" applyFont="1" applyBorder="1" applyAlignment="1" applyProtection="1">
      <protection hidden="1"/>
    </xf>
    <xf numFmtId="0" fontId="10" fillId="0" borderId="7" xfId="2" applyFont="1" applyBorder="1" applyAlignment="1" applyProtection="1">
      <alignment horizontal="center"/>
      <protection locked="0"/>
    </xf>
    <xf numFmtId="0" fontId="10" fillId="0" borderId="8" xfId="2" applyFont="1" applyBorder="1" applyAlignment="1" applyProtection="1">
      <alignment horizontal="center"/>
      <protection locked="0"/>
    </xf>
    <xf numFmtId="0" fontId="16" fillId="0" borderId="2" xfId="2" applyFont="1" applyBorder="1" applyAlignment="1" applyProtection="1">
      <protection hidden="1"/>
    </xf>
    <xf numFmtId="0" fontId="15" fillId="0" borderId="2" xfId="2" applyFont="1" applyBorder="1" applyAlignment="1" applyProtection="1">
      <alignment horizontal="center"/>
      <protection hidden="1"/>
    </xf>
    <xf numFmtId="0" fontId="17" fillId="0" borderId="2" xfId="2" applyFont="1" applyBorder="1" applyAlignment="1" applyProtection="1">
      <alignment horizontal="center"/>
      <protection hidden="1"/>
    </xf>
    <xf numFmtId="164" fontId="17" fillId="0" borderId="2" xfId="3" applyFont="1" applyBorder="1" applyAlignment="1" applyProtection="1">
      <alignment horizontal="center"/>
      <protection hidden="1"/>
    </xf>
    <xf numFmtId="0" fontId="17" fillId="0" borderId="2" xfId="2" applyFont="1" applyBorder="1" applyAlignment="1" applyProtection="1">
      <protection hidden="1"/>
    </xf>
    <xf numFmtId="164" fontId="17" fillId="0" borderId="2" xfId="3" applyFont="1" applyBorder="1" applyAlignment="1" applyProtection="1">
      <protection hidden="1"/>
    </xf>
    <xf numFmtId="164" fontId="18" fillId="0" borderId="2" xfId="3" applyFont="1" applyBorder="1" applyAlignment="1" applyProtection="1">
      <protection hidden="1"/>
    </xf>
    <xf numFmtId="164" fontId="16" fillId="0" borderId="2" xfId="3" applyFont="1" applyBorder="1" applyAlignment="1" applyProtection="1">
      <alignment horizontal="left" vertical="center"/>
      <protection hidden="1"/>
    </xf>
    <xf numFmtId="164" fontId="16" fillId="0" borderId="2" xfId="3" applyFont="1" applyBorder="1" applyAlignment="1" applyProtection="1">
      <alignment horizontal="center" vertical="center"/>
      <protection hidden="1"/>
    </xf>
    <xf numFmtId="164" fontId="19" fillId="0" borderId="2" xfId="3" applyFont="1" applyBorder="1" applyAlignment="1" applyProtection="1">
      <alignment horizontal="center" vertical="center"/>
      <protection hidden="1"/>
    </xf>
    <xf numFmtId="164" fontId="20" fillId="0" borderId="2" xfId="3" applyFont="1" applyBorder="1" applyAlignment="1" applyProtection="1">
      <alignment horizontal="center" vertical="center"/>
      <protection hidden="1"/>
    </xf>
    <xf numFmtId="164" fontId="22" fillId="0" borderId="2" xfId="3" applyFont="1" applyBorder="1" applyAlignment="1" applyProtection="1">
      <protection hidden="1"/>
    </xf>
    <xf numFmtId="164" fontId="23" fillId="0" borderId="2" xfId="3" applyFont="1" applyBorder="1" applyAlignment="1" applyProtection="1">
      <protection hidden="1"/>
    </xf>
    <xf numFmtId="0" fontId="10" fillId="0" borderId="5" xfId="2" applyFont="1" applyBorder="1" applyAlignment="1" applyProtection="1">
      <protection hidden="1"/>
    </xf>
    <xf numFmtId="0" fontId="12" fillId="0" borderId="5" xfId="2" applyFont="1" applyBorder="1" applyAlignment="1" applyProtection="1">
      <protection hidden="1"/>
    </xf>
    <xf numFmtId="0" fontId="10" fillId="0" borderId="5" xfId="2" applyFont="1" applyBorder="1" applyAlignment="1" applyProtection="1">
      <alignment wrapText="1"/>
      <protection hidden="1"/>
    </xf>
    <xf numFmtId="164" fontId="10" fillId="0" borderId="3" xfId="3" applyFont="1" applyBorder="1" applyAlignment="1" applyProtection="1">
      <protection hidden="1"/>
    </xf>
    <xf numFmtId="0" fontId="10" fillId="0" borderId="6" xfId="2" applyFont="1" applyBorder="1" applyAlignment="1" applyProtection="1">
      <protection hidden="1"/>
    </xf>
    <xf numFmtId="0" fontId="0" fillId="0" borderId="0" xfId="0" applyProtection="1">
      <protection hidden="1"/>
    </xf>
    <xf numFmtId="0" fontId="0" fillId="0" borderId="0" xfId="0" applyAlignment="1" applyProtection="1">
      <alignment vertical="center"/>
      <protection hidden="1"/>
    </xf>
    <xf numFmtId="0" fontId="3" fillId="3" borderId="0" xfId="0" applyFont="1" applyFill="1" applyAlignment="1" applyProtection="1">
      <alignment horizontal="center"/>
      <protection hidden="1"/>
    </xf>
    <xf numFmtId="0" fontId="3" fillId="8" borderId="0" xfId="0" applyFont="1" applyFill="1" applyAlignment="1" applyProtection="1">
      <alignment horizontal="center"/>
      <protection hidden="1"/>
    </xf>
    <xf numFmtId="0" fontId="3" fillId="5" borderId="0" xfId="0" applyFont="1" applyFill="1" applyAlignment="1" applyProtection="1">
      <alignment horizontal="center"/>
      <protection hidden="1"/>
    </xf>
    <xf numFmtId="0" fontId="3" fillId="6" borderId="0" xfId="0" applyFont="1" applyFill="1" applyAlignment="1" applyProtection="1">
      <alignment horizontal="center"/>
      <protection hidden="1"/>
    </xf>
    <xf numFmtId="12" fontId="4" fillId="10" borderId="0" xfId="0" applyNumberFormat="1" applyFont="1" applyFill="1" applyProtection="1">
      <protection hidden="1"/>
    </xf>
    <xf numFmtId="0" fontId="3" fillId="11" borderId="0" xfId="0" applyFont="1" applyFill="1" applyProtection="1">
      <protection hidden="1"/>
    </xf>
    <xf numFmtId="165" fontId="3" fillId="0" borderId="0" xfId="0" applyNumberFormat="1" applyFont="1" applyProtection="1">
      <protection hidden="1"/>
    </xf>
    <xf numFmtId="164" fontId="3" fillId="0" borderId="0" xfId="0" applyNumberFormat="1" applyFont="1" applyProtection="1">
      <protection hidden="1"/>
    </xf>
    <xf numFmtId="164" fontId="5" fillId="9" borderId="0" xfId="0" applyNumberFormat="1" applyFont="1" applyFill="1" applyProtection="1">
      <protection hidden="1"/>
    </xf>
    <xf numFmtId="164" fontId="5" fillId="12" borderId="0" xfId="0" applyNumberFormat="1" applyFont="1" applyFill="1" applyProtection="1">
      <protection hidden="1"/>
    </xf>
    <xf numFmtId="164" fontId="5" fillId="13" borderId="0" xfId="0" applyNumberFormat="1" applyFont="1" applyFill="1" applyProtection="1">
      <protection hidden="1"/>
    </xf>
    <xf numFmtId="164" fontId="5" fillId="10" borderId="0" xfId="0" applyNumberFormat="1" applyFont="1" applyFill="1" applyProtection="1">
      <protection hidden="1"/>
    </xf>
    <xf numFmtId="164" fontId="5" fillId="14" borderId="0" xfId="0" applyNumberFormat="1" applyFont="1" applyFill="1" applyProtection="1">
      <protection hidden="1"/>
    </xf>
    <xf numFmtId="164" fontId="5" fillId="11" borderId="0" xfId="0" applyNumberFormat="1" applyFont="1" applyFill="1" applyProtection="1">
      <protection hidden="1"/>
    </xf>
    <xf numFmtId="0" fontId="5" fillId="12" borderId="0" xfId="0" applyFont="1" applyFill="1" applyProtection="1">
      <protection hidden="1"/>
    </xf>
    <xf numFmtId="164" fontId="5" fillId="12" borderId="0" xfId="1" applyFont="1" applyFill="1" applyAlignment="1" applyProtection="1">
      <protection hidden="1"/>
    </xf>
    <xf numFmtId="0" fontId="5" fillId="15" borderId="0" xfId="0" applyFont="1" applyFill="1" applyProtection="1">
      <protection hidden="1"/>
    </xf>
    <xf numFmtId="164" fontId="5" fillId="15" borderId="0" xfId="1" applyFont="1" applyFill="1" applyAlignment="1" applyProtection="1">
      <protection hidden="1"/>
    </xf>
    <xf numFmtId="0" fontId="5" fillId="10" borderId="0" xfId="0" applyFont="1" applyFill="1" applyProtection="1">
      <protection hidden="1"/>
    </xf>
    <xf numFmtId="164" fontId="7" fillId="10" borderId="0" xfId="1" applyFont="1" applyFill="1" applyAlignment="1" applyProtection="1">
      <protection hidden="1"/>
    </xf>
    <xf numFmtId="0" fontId="5" fillId="0" borderId="0" xfId="0" applyFont="1" applyProtection="1">
      <protection hidden="1"/>
    </xf>
    <xf numFmtId="164" fontId="8" fillId="0" borderId="0" xfId="0" applyNumberFormat="1" applyFont="1" applyProtection="1">
      <protection hidden="1"/>
    </xf>
    <xf numFmtId="164" fontId="5" fillId="17" borderId="0" xfId="1" applyFont="1" applyFill="1" applyAlignment="1" applyProtection="1"/>
    <xf numFmtId="0" fontId="27" fillId="0" borderId="0" xfId="2" applyFont="1" applyAlignment="1" applyProtection="1">
      <protection hidden="1"/>
    </xf>
    <xf numFmtId="0" fontId="27" fillId="0" borderId="0" xfId="2" applyFont="1" applyAlignment="1" applyProtection="1">
      <alignment horizontal="center"/>
      <protection hidden="1"/>
    </xf>
    <xf numFmtId="0" fontId="28" fillId="0" borderId="0" xfId="2" applyFont="1" applyAlignment="1" applyProtection="1">
      <protection hidden="1"/>
    </xf>
    <xf numFmtId="164" fontId="27" fillId="0" borderId="0" xfId="3" applyFont="1" applyAlignment="1" applyProtection="1">
      <protection hidden="1"/>
    </xf>
    <xf numFmtId="0" fontId="31" fillId="0" borderId="0" xfId="2" applyFont="1" applyAlignment="1" applyProtection="1">
      <protection hidden="1"/>
    </xf>
    <xf numFmtId="0" fontId="31" fillId="0" borderId="0" xfId="2" applyFont="1" applyAlignment="1" applyProtection="1">
      <alignment horizontal="center"/>
      <protection hidden="1"/>
    </xf>
    <xf numFmtId="0" fontId="32" fillId="0" borderId="0" xfId="2" applyFont="1" applyAlignment="1" applyProtection="1">
      <protection hidden="1"/>
    </xf>
    <xf numFmtId="164" fontId="31" fillId="0" borderId="0" xfId="3" applyFont="1" applyAlignment="1" applyProtection="1">
      <protection hidden="1"/>
    </xf>
    <xf numFmtId="164" fontId="31" fillId="0" borderId="0" xfId="1" applyFont="1" applyBorder="1" applyAlignment="1" applyProtection="1">
      <protection hidden="1"/>
    </xf>
    <xf numFmtId="164" fontId="32" fillId="0" borderId="0" xfId="3" applyFont="1" applyAlignment="1" applyProtection="1">
      <protection hidden="1"/>
    </xf>
    <xf numFmtId="0" fontId="34" fillId="0" borderId="0" xfId="2" applyFont="1" applyAlignment="1" applyProtection="1">
      <protection hidden="1"/>
    </xf>
    <xf numFmtId="0" fontId="31" fillId="0" borderId="0" xfId="2" applyFont="1" applyAlignment="1" applyProtection="1">
      <alignment wrapText="1"/>
      <protection hidden="1"/>
    </xf>
    <xf numFmtId="164" fontId="35" fillId="0" borderId="0" xfId="3" applyFont="1" applyAlignment="1" applyProtection="1">
      <protection hidden="1"/>
    </xf>
    <xf numFmtId="164" fontId="36" fillId="0" borderId="0" xfId="1" applyFont="1" applyBorder="1" applyAlignment="1" applyProtection="1">
      <protection hidden="1"/>
    </xf>
    <xf numFmtId="164" fontId="14" fillId="0" borderId="0" xfId="3" applyFont="1" applyAlignment="1" applyProtection="1">
      <protection hidden="1"/>
    </xf>
    <xf numFmtId="0" fontId="26" fillId="0" borderId="0" xfId="2" applyFont="1" applyAlignment="1" applyProtection="1">
      <alignment horizontal="center"/>
      <protection hidden="1"/>
    </xf>
    <xf numFmtId="164" fontId="27" fillId="0" borderId="0" xfId="3" applyFont="1" applyAlignment="1" applyProtection="1">
      <alignment horizontal="center"/>
      <protection hidden="1"/>
    </xf>
    <xf numFmtId="164" fontId="29" fillId="0" borderId="0" xfId="3" applyFont="1" applyAlignment="1" applyProtection="1">
      <protection hidden="1"/>
    </xf>
    <xf numFmtId="164" fontId="32" fillId="0" borderId="0" xfId="3" applyFont="1" applyAlignment="1" applyProtection="1">
      <alignment horizontal="left" vertical="center"/>
      <protection hidden="1"/>
    </xf>
    <xf numFmtId="164" fontId="32" fillId="0" borderId="0" xfId="3" applyFont="1" applyAlignment="1" applyProtection="1">
      <alignment horizontal="center" vertical="center"/>
      <protection hidden="1"/>
    </xf>
    <xf numFmtId="164" fontId="33" fillId="0" borderId="0" xfId="3" applyFont="1" applyAlignment="1" applyProtection="1">
      <alignment horizontal="center" vertical="center"/>
      <protection hidden="1"/>
    </xf>
    <xf numFmtId="164" fontId="30" fillId="0" borderId="0" xfId="3" applyFont="1" applyAlignment="1" applyProtection="1">
      <alignment horizontal="center" vertical="center"/>
      <protection hidden="1"/>
    </xf>
    <xf numFmtId="164" fontId="36" fillId="0" borderId="0" xfId="3" applyFont="1" applyAlignment="1" applyProtection="1">
      <protection hidden="1"/>
    </xf>
    <xf numFmtId="0" fontId="31" fillId="0" borderId="0" xfId="2" applyFont="1" applyAlignment="1"/>
    <xf numFmtId="0" fontId="37" fillId="0" borderId="0" xfId="0" applyFont="1"/>
    <xf numFmtId="164" fontId="38" fillId="0" borderId="0" xfId="0" applyNumberFormat="1" applyFont="1"/>
    <xf numFmtId="0" fontId="39" fillId="0" borderId="0" xfId="0" applyFont="1" applyProtection="1">
      <protection hidden="1"/>
    </xf>
    <xf numFmtId="164" fontId="39" fillId="0" borderId="0" xfId="0" applyNumberFormat="1" applyFont="1" applyProtection="1">
      <protection hidden="1"/>
    </xf>
    <xf numFmtId="164" fontId="40" fillId="0" borderId="0" xfId="0" applyNumberFormat="1" applyFont="1" applyProtection="1">
      <protection hidden="1"/>
    </xf>
    <xf numFmtId="164" fontId="37" fillId="0" borderId="0" xfId="0" applyNumberFormat="1" applyFont="1"/>
    <xf numFmtId="164" fontId="41" fillId="0" borderId="0" xfId="0" applyNumberFormat="1" applyFont="1"/>
    <xf numFmtId="0" fontId="0" fillId="0" borderId="0" xfId="1" applyNumberFormat="1" applyFont="1"/>
    <xf numFmtId="164" fontId="0" fillId="0" borderId="0" xfId="0" applyNumberFormat="1" applyAlignment="1">
      <alignment horizontal="center"/>
    </xf>
    <xf numFmtId="0" fontId="0" fillId="0" borderId="2" xfId="2" applyFont="1" applyBorder="1" applyAlignment="1" applyProtection="1">
      <alignment horizontal="center" wrapText="1"/>
      <protection hidden="1"/>
    </xf>
    <xf numFmtId="0" fontId="0" fillId="0" borderId="2" xfId="2" applyFont="1" applyBorder="1" applyAlignment="1">
      <alignment horizontal="center" wrapText="1"/>
    </xf>
    <xf numFmtId="164" fontId="10" fillId="0" borderId="0" xfId="2" applyNumberFormat="1" applyFont="1" applyAlignment="1"/>
    <xf numFmtId="164" fontId="0" fillId="0" borderId="0" xfId="0" applyNumberFormat="1"/>
    <xf numFmtId="164" fontId="42" fillId="0" borderId="0" xfId="3" applyFont="1" applyAlignment="1" applyProtection="1">
      <protection hidden="1"/>
    </xf>
    <xf numFmtId="0" fontId="0" fillId="0" borderId="0" xfId="0" applyAlignment="1">
      <alignment wrapText="1"/>
    </xf>
    <xf numFmtId="0" fontId="0" fillId="3" borderId="0" xfId="0" applyFill="1" applyAlignment="1">
      <alignment wrapText="1"/>
    </xf>
    <xf numFmtId="0" fontId="0" fillId="8" borderId="0" xfId="0" applyFill="1" applyAlignment="1">
      <alignment wrapText="1"/>
    </xf>
    <xf numFmtId="0" fontId="0" fillId="3" borderId="0" xfId="0" applyFill="1"/>
    <xf numFmtId="0" fontId="0" fillId="16" borderId="0" xfId="0" applyFill="1"/>
    <xf numFmtId="0" fontId="0" fillId="0" borderId="0" xfId="0" applyAlignment="1">
      <alignment horizontal="center"/>
    </xf>
    <xf numFmtId="0" fontId="3" fillId="0" borderId="0" xfId="2" applyFont="1" applyAlignment="1">
      <alignment wrapText="1"/>
    </xf>
    <xf numFmtId="164" fontId="43" fillId="0" borderId="2" xfId="3" applyFont="1" applyBorder="1" applyAlignment="1" applyProtection="1">
      <protection hidden="1"/>
    </xf>
    <xf numFmtId="0" fontId="43" fillId="0" borderId="3" xfId="2" applyFont="1" applyBorder="1" applyAlignment="1" applyProtection="1">
      <protection hidden="1"/>
    </xf>
    <xf numFmtId="0" fontId="3" fillId="9" borderId="0" xfId="0" applyFont="1" applyFill="1" applyProtection="1">
      <protection hidden="1"/>
    </xf>
    <xf numFmtId="0" fontId="10" fillId="18" borderId="5" xfId="2" applyFont="1" applyFill="1" applyBorder="1" applyAlignment="1" applyProtection="1">
      <protection hidden="1"/>
    </xf>
    <xf numFmtId="164" fontId="24" fillId="0" borderId="3" xfId="1" applyFont="1" applyFill="1" applyBorder="1" applyAlignment="1" applyProtection="1">
      <protection hidden="1"/>
    </xf>
    <xf numFmtId="164" fontId="43" fillId="0" borderId="3" xfId="2" applyNumberFormat="1" applyFont="1" applyBorder="1" applyAlignment="1" applyProtection="1">
      <protection hidden="1"/>
    </xf>
    <xf numFmtId="164" fontId="11" fillId="0" borderId="3" xfId="2" applyNumberFormat="1" applyFont="1" applyBorder="1" applyAlignment="1" applyProtection="1">
      <protection hidden="1"/>
    </xf>
    <xf numFmtId="0" fontId="11" fillId="19" borderId="5" xfId="2" applyFont="1" applyFill="1" applyBorder="1" applyAlignment="1" applyProtection="1">
      <protection hidden="1"/>
    </xf>
    <xf numFmtId="164" fontId="10" fillId="19" borderId="2" xfId="3" applyFont="1" applyFill="1" applyBorder="1" applyAlignment="1" applyProtection="1">
      <protection hidden="1"/>
    </xf>
    <xf numFmtId="164" fontId="24" fillId="19" borderId="3" xfId="1" applyFont="1" applyFill="1" applyBorder="1" applyAlignment="1" applyProtection="1">
      <protection hidden="1"/>
    </xf>
    <xf numFmtId="0" fontId="43" fillId="19" borderId="3" xfId="2" applyFont="1" applyFill="1" applyBorder="1" applyAlignment="1" applyProtection="1">
      <protection hidden="1"/>
    </xf>
    <xf numFmtId="0" fontId="0" fillId="20" borderId="2" xfId="0" applyFill="1" applyBorder="1"/>
    <xf numFmtId="0" fontId="0" fillId="0" borderId="2" xfId="0" applyBorder="1"/>
    <xf numFmtId="9" fontId="0" fillId="0" borderId="2" xfId="0" applyNumberFormat="1" applyBorder="1"/>
    <xf numFmtId="164" fontId="43" fillId="0" borderId="3" xfId="1" applyFont="1" applyFill="1" applyBorder="1" applyAlignment="1" applyProtection="1">
      <protection hidden="1"/>
    </xf>
    <xf numFmtId="164" fontId="14" fillId="0" borderId="3" xfId="1" applyFont="1" applyFill="1" applyBorder="1" applyAlignment="1" applyProtection="1">
      <protection hidden="1"/>
    </xf>
    <xf numFmtId="164" fontId="11" fillId="0" borderId="2" xfId="3" applyFont="1" applyBorder="1" applyAlignment="1" applyProtection="1">
      <protection hidden="1"/>
    </xf>
    <xf numFmtId="164" fontId="3" fillId="2" borderId="1" xfId="0" applyNumberFormat="1" applyFont="1" applyFill="1" applyBorder="1"/>
    <xf numFmtId="164" fontId="3" fillId="2" borderId="0" xfId="0" applyNumberFormat="1" applyFont="1" applyFill="1"/>
    <xf numFmtId="0" fontId="3" fillId="0" borderId="0" xfId="0" applyFont="1" applyProtection="1">
      <protection hidden="1"/>
    </xf>
    <xf numFmtId="0" fontId="4" fillId="9" borderId="0" xfId="0" applyFont="1" applyFill="1" applyProtection="1">
      <protection hidden="1"/>
    </xf>
    <xf numFmtId="0" fontId="4" fillId="12" borderId="0" xfId="0" applyFont="1" applyFill="1" applyProtection="1">
      <protection hidden="1"/>
    </xf>
    <xf numFmtId="0" fontId="4" fillId="13" borderId="0" xfId="0" applyFont="1" applyFill="1" applyProtection="1">
      <protection hidden="1"/>
    </xf>
    <xf numFmtId="0" fontId="4" fillId="10" borderId="0" xfId="0" applyFont="1" applyFill="1" applyProtection="1">
      <protection hidden="1"/>
    </xf>
    <xf numFmtId="0" fontId="4" fillId="14" borderId="0" xfId="0" applyFont="1" applyFill="1" applyProtection="1">
      <protection hidden="1"/>
    </xf>
    <xf numFmtId="164" fontId="3" fillId="14" borderId="0" xfId="0" applyNumberFormat="1" applyFont="1" applyFill="1" applyProtection="1">
      <protection hidden="1"/>
    </xf>
    <xf numFmtId="164" fontId="3" fillId="13" borderId="0" xfId="0" applyNumberFormat="1" applyFont="1" applyFill="1" applyProtection="1">
      <protection hidden="1"/>
    </xf>
    <xf numFmtId="164" fontId="3" fillId="10" borderId="0" xfId="0" applyNumberFormat="1" applyFont="1" applyFill="1" applyProtection="1">
      <protection hidden="1"/>
    </xf>
    <xf numFmtId="164" fontId="4" fillId="11" borderId="0" xfId="0" applyNumberFormat="1" applyFont="1" applyFill="1" applyProtection="1">
      <protection hidden="1"/>
    </xf>
    <xf numFmtId="165" fontId="3" fillId="0" borderId="0" xfId="0" applyNumberFormat="1" applyFont="1" applyProtection="1">
      <protection locked="0"/>
    </xf>
    <xf numFmtId="164" fontId="3" fillId="2" borderId="0" xfId="1" applyFont="1" applyFill="1" applyBorder="1" applyAlignment="1" applyProtection="1">
      <protection locked="0"/>
    </xf>
    <xf numFmtId="164" fontId="3" fillId="3" borderId="0" xfId="1" applyFont="1" applyFill="1" applyBorder="1" applyAlignment="1" applyProtection="1">
      <protection locked="0"/>
    </xf>
    <xf numFmtId="164" fontId="3" fillId="4" borderId="0" xfId="1" applyFont="1" applyFill="1" applyBorder="1" applyAlignment="1" applyProtection="1">
      <protection locked="0"/>
    </xf>
    <xf numFmtId="164" fontId="3" fillId="5" borderId="0" xfId="1" applyFont="1" applyFill="1" applyBorder="1" applyAlignment="1" applyProtection="1">
      <protection locked="0"/>
    </xf>
    <xf numFmtId="164" fontId="3" fillId="0" borderId="0" xfId="1" applyFont="1" applyBorder="1" applyAlignment="1" applyProtection="1">
      <protection locked="0"/>
    </xf>
    <xf numFmtId="164" fontId="3" fillId="6" borderId="0" xfId="1" applyFont="1" applyFill="1" applyBorder="1" applyAlignment="1" applyProtection="1">
      <protection locked="0"/>
    </xf>
    <xf numFmtId="164" fontId="3" fillId="7" borderId="0" xfId="1" applyFont="1" applyFill="1" applyBorder="1" applyAlignment="1" applyProtection="1">
      <protection locked="0"/>
    </xf>
    <xf numFmtId="164" fontId="25" fillId="3" borderId="0" xfId="1" applyFont="1" applyFill="1" applyBorder="1" applyAlignment="1" applyProtection="1">
      <protection locked="0"/>
    </xf>
    <xf numFmtId="0" fontId="0" fillId="0" borderId="0" xfId="0" applyProtection="1">
      <protection locked="0"/>
    </xf>
    <xf numFmtId="0" fontId="9" fillId="0" borderId="0" xfId="2" applyProtection="1">
      <alignment vertical="center"/>
      <protection locked="0"/>
    </xf>
    <xf numFmtId="167" fontId="0" fillId="0" borderId="0" xfId="0" applyNumberFormat="1" applyProtection="1">
      <protection locked="0"/>
    </xf>
    <xf numFmtId="164" fontId="0" fillId="0" borderId="0" xfId="1" applyFont="1" applyProtection="1">
      <protection locked="0"/>
    </xf>
    <xf numFmtId="166" fontId="5" fillId="0" borderId="0" xfId="2" applyNumberFormat="1" applyFont="1" applyAlignment="1" applyProtection="1">
      <protection locked="0"/>
    </xf>
    <xf numFmtId="164" fontId="0" fillId="0" borderId="0" xfId="1" applyFont="1" applyProtection="1"/>
    <xf numFmtId="164" fontId="0" fillId="3" borderId="0" xfId="1" applyFont="1" applyFill="1" applyProtection="1">
      <protection locked="0"/>
    </xf>
    <xf numFmtId="164" fontId="0" fillId="3" borderId="0" xfId="1" applyFont="1" applyFill="1" applyProtection="1"/>
    <xf numFmtId="0" fontId="10" fillId="0" borderId="0" xfId="2" applyFont="1" applyAlignment="1" applyProtection="1">
      <protection locked="0"/>
    </xf>
    <xf numFmtId="0" fontId="10" fillId="0" borderId="5" xfId="2" applyFont="1" applyBorder="1" applyAlignment="1" applyProtection="1">
      <protection locked="0"/>
    </xf>
    <xf numFmtId="164" fontId="10" fillId="0" borderId="2" xfId="3" applyFont="1" applyBorder="1" applyAlignment="1">
      <protection locked="0"/>
    </xf>
    <xf numFmtId="164" fontId="10" fillId="0" borderId="3" xfId="3" applyFont="1" applyBorder="1" applyAlignment="1">
      <protection locked="0"/>
    </xf>
    <xf numFmtId="164" fontId="10" fillId="0" borderId="0" xfId="3" applyFont="1" applyAlignment="1">
      <protection locked="0"/>
    </xf>
    <xf numFmtId="164" fontId="10" fillId="0" borderId="0" xfId="1" applyFont="1" applyAlignment="1" applyProtection="1">
      <protection locked="0"/>
    </xf>
    <xf numFmtId="164" fontId="11" fillId="0" borderId="0" xfId="2" applyNumberFormat="1" applyFont="1" applyAlignment="1" applyProtection="1">
      <protection locked="0"/>
    </xf>
    <xf numFmtId="164" fontId="10" fillId="0" borderId="0" xfId="2" applyNumberFormat="1" applyFont="1" applyAlignment="1" applyProtection="1">
      <protection locked="0"/>
    </xf>
    <xf numFmtId="0" fontId="21" fillId="0" borderId="0" xfId="2" applyFont="1" applyAlignment="1" applyProtection="1">
      <protection locked="0"/>
    </xf>
    <xf numFmtId="0" fontId="15" fillId="0" borderId="4" xfId="2" applyFont="1" applyBorder="1" applyAlignment="1" applyProtection="1">
      <alignment horizontal="center"/>
      <protection locked="0"/>
    </xf>
    <xf numFmtId="0" fontId="16" fillId="0" borderId="4" xfId="2" applyFont="1" applyBorder="1" applyAlignment="1" applyProtection="1">
      <protection locked="0"/>
    </xf>
    <xf numFmtId="0" fontId="17" fillId="0" borderId="4" xfId="2" applyFont="1" applyBorder="1" applyAlignment="1" applyProtection="1">
      <alignment horizontal="center"/>
      <protection locked="0"/>
    </xf>
    <xf numFmtId="164" fontId="47" fillId="0" borderId="4" xfId="3" applyFont="1" applyBorder="1" applyAlignment="1">
      <alignment horizontal="center"/>
      <protection locked="0"/>
    </xf>
    <xf numFmtId="0" fontId="17" fillId="0" borderId="4" xfId="2" applyFont="1" applyBorder="1" applyAlignment="1" applyProtection="1">
      <protection locked="0"/>
    </xf>
    <xf numFmtId="164" fontId="17" fillId="0" borderId="4" xfId="3" applyFont="1" applyBorder="1" applyAlignment="1">
      <protection locked="0"/>
    </xf>
    <xf numFmtId="164" fontId="18" fillId="0" borderId="4" xfId="3" applyFont="1" applyBorder="1" applyAlignment="1">
      <protection locked="0"/>
    </xf>
    <xf numFmtId="164" fontId="16" fillId="0" borderId="4" xfId="3" applyFont="1" applyBorder="1" applyAlignment="1">
      <alignment horizontal="left" vertical="center"/>
      <protection locked="0"/>
    </xf>
    <xf numFmtId="164" fontId="16" fillId="0" borderId="4" xfId="3" applyFont="1" applyBorder="1" applyAlignment="1">
      <alignment horizontal="center" vertical="center"/>
      <protection locked="0"/>
    </xf>
    <xf numFmtId="164" fontId="19" fillId="0" borderId="4" xfId="3" applyFont="1" applyBorder="1" applyAlignment="1">
      <alignment horizontal="center" vertical="center"/>
      <protection locked="0"/>
    </xf>
    <xf numFmtId="164" fontId="20" fillId="0" borderId="4" xfId="3" applyFont="1" applyBorder="1" applyAlignment="1">
      <alignment horizontal="center" vertical="center"/>
      <protection locked="0"/>
    </xf>
    <xf numFmtId="164" fontId="22" fillId="0" borderId="13" xfId="3" applyFont="1" applyBorder="1" applyAlignment="1">
      <protection locked="0"/>
    </xf>
    <xf numFmtId="164" fontId="23" fillId="0" borderId="13" xfId="3" applyFont="1" applyBorder="1" applyAlignment="1">
      <protection locked="0"/>
    </xf>
    <xf numFmtId="0" fontId="10" fillId="0" borderId="7" xfId="2" applyFont="1" applyBorder="1" applyAlignment="1">
      <alignment horizontal="center"/>
    </xf>
    <xf numFmtId="0" fontId="10" fillId="0" borderId="8" xfId="2" applyFont="1" applyBorder="1" applyAlignment="1">
      <alignment horizontal="center"/>
    </xf>
    <xf numFmtId="0" fontId="10" fillId="0" borderId="3" xfId="2" applyFont="1" applyBorder="1" applyAlignment="1"/>
    <xf numFmtId="0" fontId="10" fillId="0" borderId="5" xfId="2" applyFont="1" applyBorder="1" applyAlignment="1"/>
    <xf numFmtId="164" fontId="10" fillId="0" borderId="2" xfId="3" applyFont="1" applyBorder="1" applyAlignment="1" applyProtection="1"/>
    <xf numFmtId="164" fontId="10" fillId="0" borderId="3" xfId="3" applyFont="1" applyBorder="1" applyAlignment="1" applyProtection="1"/>
    <xf numFmtId="164" fontId="12" fillId="0" borderId="2" xfId="3" applyFont="1" applyBorder="1" applyAlignment="1" applyProtection="1"/>
    <xf numFmtId="164" fontId="10" fillId="0" borderId="3" xfId="1" applyFont="1" applyBorder="1" applyAlignment="1" applyProtection="1"/>
    <xf numFmtId="164" fontId="24" fillId="0" borderId="3" xfId="1" applyFont="1" applyBorder="1" applyAlignment="1" applyProtection="1"/>
    <xf numFmtId="0" fontId="10" fillId="12" borderId="5" xfId="2" applyFont="1" applyFill="1" applyBorder="1" applyAlignment="1"/>
    <xf numFmtId="164" fontId="45" fillId="0" borderId="3" xfId="3" applyFont="1" applyBorder="1" applyAlignment="1" applyProtection="1"/>
    <xf numFmtId="164" fontId="43" fillId="0" borderId="2" xfId="3" applyFont="1" applyBorder="1" applyAlignment="1" applyProtection="1"/>
    <xf numFmtId="164" fontId="11" fillId="0" borderId="3" xfId="3" applyFont="1" applyBorder="1" applyAlignment="1" applyProtection="1"/>
    <xf numFmtId="0" fontId="12" fillId="0" borderId="5" xfId="2" applyFont="1" applyBorder="1" applyAlignment="1"/>
    <xf numFmtId="164" fontId="43" fillId="0" borderId="3" xfId="3" applyFont="1" applyBorder="1" applyAlignment="1" applyProtection="1"/>
    <xf numFmtId="164" fontId="11" fillId="0" borderId="3" xfId="2" applyNumberFormat="1" applyFont="1" applyBorder="1" applyAlignment="1"/>
    <xf numFmtId="164" fontId="10" fillId="0" borderId="2" xfId="1" applyFont="1" applyBorder="1" applyAlignment="1" applyProtection="1"/>
    <xf numFmtId="0" fontId="43" fillId="0" borderId="3" xfId="2" applyFont="1" applyBorder="1" applyAlignment="1"/>
    <xf numFmtId="164" fontId="24" fillId="0" borderId="2" xfId="1" applyFont="1" applyBorder="1" applyAlignment="1" applyProtection="1"/>
    <xf numFmtId="0" fontId="10" fillId="8" borderId="5" xfId="2" applyFont="1" applyFill="1" applyBorder="1" applyAlignment="1"/>
    <xf numFmtId="164" fontId="44" fillId="0" borderId="3" xfId="2" applyNumberFormat="1" applyFont="1" applyBorder="1" applyAlignment="1"/>
    <xf numFmtId="164" fontId="16" fillId="0" borderId="3" xfId="2" applyNumberFormat="1" applyFont="1" applyBorder="1" applyAlignment="1"/>
    <xf numFmtId="0" fontId="10" fillId="18" borderId="5" xfId="2" applyFont="1" applyFill="1" applyBorder="1" applyAlignment="1"/>
    <xf numFmtId="164" fontId="24" fillId="0" borderId="2" xfId="1" applyFont="1" applyFill="1" applyBorder="1" applyAlignment="1" applyProtection="1"/>
    <xf numFmtId="164" fontId="43" fillId="0" borderId="3" xfId="1" applyFont="1" applyFill="1" applyBorder="1" applyAlignment="1" applyProtection="1"/>
    <xf numFmtId="0" fontId="11" fillId="0" borderId="9" xfId="2" applyFont="1" applyBorder="1" applyAlignment="1"/>
    <xf numFmtId="164" fontId="10" fillId="0" borderId="10" xfId="3" applyFont="1" applyBorder="1" applyAlignment="1" applyProtection="1"/>
    <xf numFmtId="164" fontId="24" fillId="0" borderId="10" xfId="1" applyFont="1" applyFill="1" applyBorder="1" applyAlignment="1" applyProtection="1"/>
    <xf numFmtId="164" fontId="44" fillId="0" borderId="11" xfId="1" applyFont="1" applyFill="1" applyBorder="1" applyAlignment="1" applyProtection="1"/>
    <xf numFmtId="164" fontId="10" fillId="0" borderId="7" xfId="3" applyFont="1" applyBorder="1" applyAlignment="1" applyProtection="1">
      <alignment horizontal="center"/>
    </xf>
    <xf numFmtId="164" fontId="10" fillId="0" borderId="7" xfId="1" applyFont="1" applyFill="1" applyBorder="1" applyAlignment="1" applyProtection="1">
      <alignment horizontal="center"/>
    </xf>
    <xf numFmtId="0" fontId="11" fillId="19" borderId="5" xfId="2" applyFont="1" applyFill="1" applyBorder="1" applyAlignment="1"/>
    <xf numFmtId="164" fontId="12" fillId="0" borderId="2" xfId="1" applyFont="1" applyBorder="1" applyAlignment="1" applyProtection="1"/>
    <xf numFmtId="0" fontId="10" fillId="0" borderId="5" xfId="2" applyFont="1" applyBorder="1" applyAlignment="1">
      <alignment wrapText="1"/>
    </xf>
    <xf numFmtId="164" fontId="13" fillId="0" borderId="3" xfId="3" applyFont="1" applyBorder="1" applyAlignment="1" applyProtection="1"/>
    <xf numFmtId="164" fontId="44" fillId="0" borderId="11" xfId="1" applyFont="1" applyBorder="1" applyAlignment="1" applyProtection="1"/>
    <xf numFmtId="0" fontId="0" fillId="0" borderId="2" xfId="0" applyBorder="1" applyAlignment="1">
      <alignment horizontal="right"/>
    </xf>
    <xf numFmtId="0" fontId="0" fillId="0" borderId="10" xfId="0" applyBorder="1"/>
    <xf numFmtId="9" fontId="0" fillId="0" borderId="10" xfId="0" applyNumberFormat="1" applyBorder="1"/>
    <xf numFmtId="0" fontId="15" fillId="0" borderId="0" xfId="2" applyFont="1" applyAlignment="1" applyProtection="1">
      <alignment horizontal="center"/>
      <protection locked="0"/>
    </xf>
    <xf numFmtId="0" fontId="16" fillId="0" borderId="0" xfId="2" applyFont="1" applyAlignment="1" applyProtection="1">
      <protection locked="0"/>
    </xf>
    <xf numFmtId="0" fontId="17" fillId="0" borderId="0" xfId="2" applyFont="1" applyAlignment="1" applyProtection="1">
      <alignment horizontal="center"/>
      <protection locked="0"/>
    </xf>
    <xf numFmtId="164" fontId="47" fillId="0" borderId="0" xfId="3" applyFont="1" applyAlignment="1">
      <alignment horizontal="center"/>
      <protection locked="0"/>
    </xf>
    <xf numFmtId="0" fontId="17" fillId="0" borderId="0" xfId="2" applyFont="1" applyAlignment="1" applyProtection="1">
      <protection locked="0"/>
    </xf>
    <xf numFmtId="164" fontId="17" fillId="0" borderId="0" xfId="3" applyFont="1" applyAlignment="1">
      <protection locked="0"/>
    </xf>
    <xf numFmtId="164" fontId="18" fillId="0" borderId="0" xfId="3" applyFont="1" applyAlignment="1">
      <protection locked="0"/>
    </xf>
    <xf numFmtId="164" fontId="16" fillId="0" borderId="0" xfId="3" applyFont="1" applyAlignment="1">
      <alignment horizontal="left" vertical="center"/>
      <protection locked="0"/>
    </xf>
    <xf numFmtId="164" fontId="16" fillId="0" borderId="0" xfId="3" applyFont="1" applyAlignment="1">
      <alignment horizontal="center" vertical="center"/>
      <protection locked="0"/>
    </xf>
    <xf numFmtId="164" fontId="19" fillId="0" borderId="0" xfId="3" applyFont="1" applyAlignment="1">
      <alignment horizontal="center" vertical="center"/>
      <protection locked="0"/>
    </xf>
    <xf numFmtId="164" fontId="20" fillId="0" borderId="0" xfId="3" applyFont="1" applyAlignment="1">
      <alignment horizontal="center" vertical="center"/>
      <protection locked="0"/>
    </xf>
    <xf numFmtId="164" fontId="22" fillId="0" borderId="0" xfId="3" applyFont="1" applyAlignment="1">
      <protection locked="0"/>
    </xf>
    <xf numFmtId="164" fontId="23" fillId="0" borderId="0" xfId="3" applyFont="1" applyAlignment="1">
      <protection locked="0"/>
    </xf>
    <xf numFmtId="0" fontId="10" fillId="0" borderId="4" xfId="2" applyFont="1" applyBorder="1" applyAlignment="1">
      <alignment wrapText="1"/>
    </xf>
    <xf numFmtId="0" fontId="10" fillId="0" borderId="0" xfId="2" applyFont="1" applyAlignment="1">
      <alignment horizontal="center" wrapText="1"/>
    </xf>
    <xf numFmtId="0" fontId="0" fillId="0" borderId="0" xfId="2" applyFont="1" applyAlignment="1">
      <alignment horizontal="center" wrapText="1"/>
    </xf>
    <xf numFmtId="164" fontId="3" fillId="3" borderId="0" xfId="0" applyNumberFormat="1" applyFont="1" applyFill="1" applyAlignment="1" applyProtection="1">
      <alignment horizontal="center"/>
      <protection hidden="1"/>
    </xf>
    <xf numFmtId="164" fontId="3" fillId="8" borderId="0" xfId="0" applyNumberFormat="1" applyFont="1" applyFill="1" applyAlignment="1" applyProtection="1">
      <alignment horizontal="center"/>
      <protection hidden="1"/>
    </xf>
    <xf numFmtId="164" fontId="3" fillId="5" borderId="0" xfId="0" applyNumberFormat="1" applyFont="1" applyFill="1" applyAlignment="1" applyProtection="1">
      <alignment horizontal="center"/>
      <protection hidden="1"/>
    </xf>
    <xf numFmtId="0" fontId="3" fillId="6" borderId="0" xfId="0" applyFont="1" applyFill="1" applyAlignment="1" applyProtection="1">
      <alignment horizontal="center"/>
      <protection hidden="1"/>
    </xf>
    <xf numFmtId="0" fontId="3" fillId="7" borderId="0" xfId="0" applyFont="1" applyFill="1" applyAlignment="1" applyProtection="1">
      <alignment horizontal="center"/>
      <protection hidden="1"/>
    </xf>
    <xf numFmtId="0" fontId="10" fillId="0" borderId="2" xfId="2" applyFont="1" applyBorder="1" applyAlignment="1" applyProtection="1">
      <alignment horizontal="center"/>
      <protection locked="0"/>
    </xf>
    <xf numFmtId="0" fontId="10" fillId="0" borderId="2" xfId="2" applyFont="1" applyBorder="1" applyAlignment="1" applyProtection="1">
      <alignment horizontal="center" wrapText="1"/>
      <protection locked="0"/>
    </xf>
    <xf numFmtId="0" fontId="15" fillId="0" borderId="12" xfId="2" applyFont="1" applyBorder="1" applyAlignment="1" applyProtection="1">
      <alignment horizontal="center"/>
      <protection locked="0"/>
    </xf>
    <xf numFmtId="0" fontId="15" fillId="0" borderId="4" xfId="2" applyFont="1" applyBorder="1" applyAlignment="1" applyProtection="1">
      <alignment horizontal="center"/>
      <protection locked="0"/>
    </xf>
    <xf numFmtId="0" fontId="0" fillId="20" borderId="2" xfId="0" applyFill="1" applyBorder="1" applyAlignment="1">
      <alignment horizontal="center"/>
    </xf>
    <xf numFmtId="14" fontId="11" fillId="0" borderId="4" xfId="2" applyNumberFormat="1" applyFont="1" applyBorder="1" applyAlignment="1">
      <alignment horizontal="center" wrapText="1"/>
    </xf>
    <xf numFmtId="0" fontId="11" fillId="0" borderId="4" xfId="2" applyFont="1" applyBorder="1" applyAlignment="1">
      <alignment horizontal="center" wrapText="1"/>
    </xf>
    <xf numFmtId="0" fontId="10" fillId="0" borderId="0" xfId="2" applyFont="1" applyAlignment="1" applyProtection="1">
      <alignment horizontal="center"/>
      <protection locked="0"/>
    </xf>
    <xf numFmtId="0" fontId="15" fillId="0" borderId="0" xfId="2" applyFont="1" applyAlignment="1" applyProtection="1">
      <alignment horizontal="center"/>
      <protection locked="0"/>
    </xf>
    <xf numFmtId="0" fontId="0" fillId="0" borderId="0" xfId="0" applyAlignment="1">
      <alignment horizontal="center"/>
    </xf>
    <xf numFmtId="0" fontId="10" fillId="0" borderId="2" xfId="2" applyFont="1" applyBorder="1" applyAlignment="1">
      <alignment horizontal="center"/>
    </xf>
    <xf numFmtId="14" fontId="11" fillId="0" borderId="3" xfId="2" applyNumberFormat="1" applyFont="1" applyBorder="1" applyAlignment="1">
      <alignment horizontal="center" wrapText="1"/>
    </xf>
    <xf numFmtId="0" fontId="11" fillId="0" borderId="5" xfId="2" applyFont="1" applyBorder="1" applyAlignment="1">
      <alignment horizontal="center" wrapText="1"/>
    </xf>
    <xf numFmtId="0" fontId="10" fillId="0" borderId="3" xfId="2" applyFont="1" applyBorder="1" applyAlignment="1">
      <alignment horizontal="center" wrapText="1"/>
    </xf>
    <xf numFmtId="0" fontId="10" fillId="0" borderId="4" xfId="2" applyFont="1" applyBorder="1" applyAlignment="1">
      <alignment horizontal="center" wrapText="1"/>
    </xf>
    <xf numFmtId="0" fontId="10" fillId="0" borderId="5" xfId="2" applyFont="1" applyBorder="1" applyAlignment="1">
      <alignment horizontal="center" wrapText="1"/>
    </xf>
    <xf numFmtId="0" fontId="10" fillId="0" borderId="2" xfId="2" applyFont="1" applyBorder="1" applyAlignment="1">
      <alignment horizontal="center" wrapText="1"/>
    </xf>
    <xf numFmtId="0" fontId="15" fillId="0" borderId="2" xfId="2" applyFont="1" applyBorder="1" applyAlignment="1" applyProtection="1">
      <alignment horizontal="center"/>
      <protection hidden="1"/>
    </xf>
    <xf numFmtId="0" fontId="11" fillId="0" borderId="0" xfId="2" applyFont="1" applyAlignment="1">
      <alignment horizontal="center"/>
    </xf>
    <xf numFmtId="0" fontId="30" fillId="0" borderId="0" xfId="2" applyFont="1" applyAlignment="1">
      <alignment horizontal="center" wrapText="1"/>
    </xf>
    <xf numFmtId="0" fontId="26" fillId="0" borderId="0" xfId="2" applyFont="1" applyAlignment="1" applyProtection="1">
      <alignment horizontal="center"/>
      <protection hidden="1"/>
    </xf>
  </cellXfs>
  <cellStyles count="4">
    <cellStyle name="Comma" xfId="1" builtinId="3"/>
    <cellStyle name="Comma 2" xfId="3"/>
    <cellStyle name="Normal" xfId="0" builtinId="0"/>
    <cellStyle name="Normal 2" xfId="2"/>
  </cellStyles>
  <dxfs count="286">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2"/>
        <color rgb="FF000000"/>
        <name val="Calibri"/>
        <scheme val="none"/>
      </font>
      <alignment horizontal="general" vertical="bottom" textRotation="0" wrapText="0" indent="0" justifyLastLine="0" shrinkToFit="0" readingOrder="0"/>
      <protection locked="1" hidden="1"/>
    </dxf>
    <dxf>
      <font>
        <b val="0"/>
        <i val="0"/>
        <strike val="0"/>
        <condense val="0"/>
        <extend val="0"/>
        <outline val="0"/>
        <shadow val="0"/>
        <u val="none"/>
        <vertAlign val="baseline"/>
        <sz val="12"/>
        <color rgb="FF000000"/>
        <name val="Calibri"/>
        <scheme val="none"/>
      </font>
      <alignment horizontal="general" vertical="bottom" textRotation="0" wrapText="0" indent="0" justifyLastLine="0" shrinkToFit="0" readingOrder="0"/>
      <protection locked="1" hidden="1"/>
    </dxf>
    <dxf>
      <font>
        <b val="0"/>
        <i val="0"/>
        <strike val="0"/>
        <condense val="0"/>
        <extend val="0"/>
        <outline val="0"/>
        <shadow val="0"/>
        <u val="none"/>
        <vertAlign val="baseline"/>
        <sz val="12"/>
        <color rgb="FF000000"/>
        <name val="Calibri"/>
        <scheme val="none"/>
      </font>
      <alignment horizontal="general" vertical="bottom" textRotation="0" wrapText="0" indent="0" justifyLastLine="0" shrinkToFit="0" readingOrder="0"/>
      <protection locked="1" hidden="1"/>
    </dxf>
    <dxf>
      <font>
        <b val="0"/>
        <i val="0"/>
        <strike val="0"/>
        <condense val="0"/>
        <extend val="0"/>
        <outline val="0"/>
        <shadow val="0"/>
        <u val="none"/>
        <vertAlign val="baseline"/>
        <sz val="12"/>
        <color rgb="FF000000"/>
        <name val="Calibri"/>
        <scheme val="none"/>
      </font>
      <alignment horizontal="general" vertical="bottom" textRotation="0" wrapText="0" indent="0" justifyLastLine="0" shrinkToFit="0" readingOrder="0"/>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vertAlign val="baseline"/>
        <sz val="12"/>
        <color rgb="FF000000"/>
        <name val="Calibri"/>
        <scheme val="none"/>
      </font>
    </dxf>
    <dxf>
      <border outline="0">
        <bottom style="thin">
          <color indexed="64"/>
        </bottom>
      </border>
    </dxf>
    <dxf>
      <font>
        <b val="0"/>
        <i val="0"/>
        <strike val="0"/>
        <condense val="0"/>
        <extend val="0"/>
        <outline val="0"/>
        <shadow val="0"/>
        <u val="none"/>
        <vertAlign val="baseline"/>
        <sz val="12"/>
        <color rgb="FF000000"/>
        <name val="Calibri"/>
        <scheme val="none"/>
      </font>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ill>
        <patternFill>
          <bgColor rgb="FF70AD46"/>
        </patternFill>
      </fill>
    </dxf>
    <dxf>
      <fill>
        <patternFill>
          <bgColor rgb="FFFF0000"/>
        </patternFill>
      </fill>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6"/>
        <color rgb="FF000000"/>
        <name val="Calibri"/>
        <scheme val="none"/>
      </font>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ill>
        <patternFill>
          <bgColor rgb="FF70AD46"/>
        </patternFill>
      </fill>
    </dxf>
    <dxf>
      <fill>
        <patternFill>
          <bgColor rgb="FFFF0000"/>
        </patternFill>
      </fill>
    </dxf>
    <dxf>
      <numFmt numFmtId="13" formatCode="0%"/>
      <border diagonalUp="0" diagonalDown="0">
        <left style="thin">
          <color indexed="64"/>
        </left>
        <right/>
        <top style="thin">
          <color indexed="64"/>
        </top>
        <bottom style="thin">
          <color indexed="64"/>
        </bottom>
        <vertical style="thin">
          <color indexed="64"/>
        </vertical>
        <horizontal style="thin">
          <color indexed="64"/>
        </horizontal>
      </border>
    </dxf>
    <dxf>
      <numFmt numFmtId="13"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6"/>
        <color rgb="FF000000"/>
        <name val="Calibri"/>
        <scheme val="none"/>
      </font>
      <alignment horizontal="center" vertical="bottom" textRotation="0" wrapText="0" indent="0" justifyLastLine="0" shrinkToFit="0" readingOrder="0"/>
      <border diagonalUp="0" diagonalDown="0" outline="0">
        <left style="thin">
          <color indexed="64"/>
        </left>
        <right style="thin">
          <color indexed="64"/>
        </right>
        <top/>
        <bottom/>
      </border>
      <protection locked="1" hidden="1"/>
    </dxf>
    <dxf>
      <fill>
        <patternFill>
          <bgColor rgb="FF70AD46"/>
        </patternFill>
      </fill>
    </dxf>
    <dxf>
      <fill>
        <patternFill>
          <bgColor rgb="FFFF0000"/>
        </patternFill>
      </fill>
    </dxf>
    <dxf>
      <font>
        <b val="0"/>
        <i val="0"/>
        <strike val="0"/>
        <condense val="0"/>
        <extend val="0"/>
        <outline val="0"/>
        <shadow val="0"/>
        <u val="none"/>
        <vertAlign val="baseline"/>
        <sz val="11"/>
        <color theme="1"/>
        <name val="Calibri"/>
        <scheme val="minor"/>
      </font>
      <numFmt numFmtId="164" formatCode="_(* #,##0.00_);_(* \(#,##0.00\);_(* &quot;-&quot;??_);_(@_)"/>
    </dxf>
    <dxf>
      <font>
        <b val="0"/>
        <i val="0"/>
        <strike val="0"/>
        <condense val="0"/>
        <extend val="0"/>
        <outline val="0"/>
        <shadow val="0"/>
        <u val="none"/>
        <vertAlign val="baseline"/>
        <sz val="11"/>
        <color theme="1"/>
        <name val="Calibri"/>
        <scheme val="minor"/>
      </font>
    </dxf>
    <dxf>
      <protection locked="1" hidden="0"/>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ill>
        <patternFill patternType="none">
          <fgColor indexed="64"/>
          <bgColor auto="1"/>
        </patternFill>
      </fill>
      <protection locked="1" hidden="0"/>
    </dxf>
    <dxf>
      <font>
        <b val="0"/>
        <i val="0"/>
        <strike val="0"/>
        <condense val="0"/>
        <extend val="0"/>
        <outline val="0"/>
        <shadow val="0"/>
        <u val="none"/>
        <vertAlign val="baseline"/>
        <sz val="16"/>
        <color rgb="FF000000"/>
        <name val="Calibri"/>
        <scheme val="none"/>
      </font>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singleAccounting"/>
        <vertAlign val="baseline"/>
        <sz val="16"/>
        <color rgb="FF000000"/>
        <name val="Calibri"/>
        <scheme val="none"/>
      </font>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6"/>
        <color rgb="FF000000"/>
        <name val="Calibri"/>
        <scheme val="none"/>
      </font>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6"/>
        <color rgb="FF000000"/>
        <name val="Calibri"/>
        <scheme val="none"/>
      </font>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val="0"/>
        <i val="0"/>
        <strike val="0"/>
        <condense val="0"/>
        <extend val="0"/>
        <outline val="0"/>
        <shadow val="0"/>
        <u val="none"/>
        <vertAlign val="baseline"/>
        <sz val="16"/>
        <color rgb="FF000000"/>
        <name val="Calibri"/>
        <scheme val="none"/>
      </font>
      <alignment horizontal="center" vertical="bottom" textRotation="0" wrapText="0" indent="0" justifyLastLine="0" shrinkToFit="0" readingOrder="0"/>
      <border diagonalUp="0" diagonalDown="0">
        <left style="thin">
          <color indexed="64"/>
        </left>
        <right style="thin">
          <color indexed="64"/>
        </right>
        <top/>
        <bottom/>
      </border>
      <protection locked="1" hidden="0"/>
    </dxf>
    <dxf>
      <numFmt numFmtId="13" formatCode="0%"/>
      <border diagonalUp="0" diagonalDown="0">
        <left style="thin">
          <color indexed="64"/>
        </left>
        <right/>
        <top style="thin">
          <color indexed="64"/>
        </top>
        <bottom style="thin">
          <color indexed="64"/>
        </bottom>
        <vertical style="thin">
          <color indexed="64"/>
        </vertical>
        <horizontal style="thin">
          <color indexed="64"/>
        </horizontal>
      </border>
      <protection locked="1" hidden="0"/>
    </dxf>
    <dxf>
      <numFmt numFmtId="13"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3"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protection locked="1" hidden="0"/>
    </dxf>
    <dxf>
      <border diagonalUp="0" diagonalDown="0">
        <left style="thin">
          <color indexed="64"/>
        </left>
        <right style="thin">
          <color indexed="64"/>
        </right>
        <top/>
        <bottom/>
        <vertical style="thin">
          <color indexed="64"/>
        </vertical>
        <horizontal style="thin">
          <color indexed="64"/>
        </horizontal>
      </border>
      <protection locked="1" hidden="0"/>
    </dxf>
    <dxf>
      <fill>
        <patternFill>
          <bgColor rgb="FF70AD46"/>
        </patternFill>
      </fill>
    </dxf>
    <dxf>
      <fill>
        <patternFill>
          <bgColor rgb="FFFF0000"/>
        </patternFill>
      </fill>
    </dxf>
    <dxf>
      <numFmt numFmtId="166" formatCode="m/d/yyyy"/>
    </dxf>
    <dxf>
      <protection locked="1" hidden="0"/>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6"/>
        <color rgb="FF000000"/>
        <name val="Calibri"/>
        <scheme val="none"/>
      </font>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ill>
        <patternFill patternType="none">
          <fgColor indexed="64"/>
          <bgColor auto="1"/>
        </patternFill>
      </fill>
      <protection locked="1" hidden="0"/>
    </dxf>
    <dxf>
      <font>
        <b val="0"/>
        <i val="0"/>
        <strike val="0"/>
        <condense val="0"/>
        <extend val="0"/>
        <outline val="0"/>
        <shadow val="0"/>
        <u val="none"/>
        <vertAlign val="baseline"/>
        <sz val="16"/>
        <color rgb="FF000000"/>
        <name val="Calibri"/>
        <scheme val="none"/>
      </font>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singleAccounting"/>
        <vertAlign val="baseline"/>
        <sz val="16"/>
        <color rgb="FF000000"/>
        <name val="Calibri"/>
        <scheme val="none"/>
      </font>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6"/>
        <color rgb="FF000000"/>
        <name val="Calibri"/>
        <scheme val="none"/>
      </font>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6"/>
        <color rgb="FF000000"/>
        <name val="Calibri"/>
        <scheme val="none"/>
      </font>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val="0"/>
        <i val="0"/>
        <strike val="0"/>
        <condense val="0"/>
        <extend val="0"/>
        <outline val="0"/>
        <shadow val="0"/>
        <u val="none"/>
        <vertAlign val="baseline"/>
        <sz val="16"/>
        <color rgb="FF000000"/>
        <name val="Calibri"/>
        <scheme val="none"/>
      </font>
      <alignment horizontal="center" vertical="bottom" textRotation="0" wrapText="0" indent="0" justifyLastLine="0" shrinkToFit="0" readingOrder="0"/>
      <border diagonalUp="0" diagonalDown="0">
        <left style="thin">
          <color indexed="64"/>
        </left>
        <right style="thin">
          <color indexed="64"/>
        </right>
        <top/>
        <bottom/>
      </border>
      <protection locked="1" hidden="0"/>
    </dxf>
    <dxf>
      <numFmt numFmtId="13" formatCode="0%"/>
      <border diagonalUp="0" diagonalDown="0">
        <left style="thin">
          <color indexed="64"/>
        </left>
        <right/>
        <top style="thin">
          <color indexed="64"/>
        </top>
        <bottom style="thin">
          <color indexed="64"/>
        </bottom>
        <vertical style="thin">
          <color indexed="64"/>
        </vertical>
        <horizontal style="thin">
          <color indexed="64"/>
        </horizontal>
      </border>
      <protection locked="1" hidden="0"/>
    </dxf>
    <dxf>
      <numFmt numFmtId="13"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3"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protection locked="1" hidden="0"/>
    </dxf>
    <dxf>
      <border diagonalUp="0" diagonalDown="0">
        <left style="thin">
          <color indexed="64"/>
        </left>
        <right style="thin">
          <color indexed="64"/>
        </right>
        <top/>
        <bottom/>
        <vertical style="thin">
          <color indexed="64"/>
        </vertical>
        <horizontal style="thin">
          <color indexed="64"/>
        </horizontal>
      </border>
      <protection locked="1" hidden="0"/>
    </dxf>
    <dxf>
      <fill>
        <patternFill>
          <bgColor rgb="FF70AD46"/>
        </patternFill>
      </fill>
    </dxf>
    <dxf>
      <fill>
        <patternFill>
          <bgColor rgb="FFFF0000"/>
        </patternFill>
      </fill>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auto="1"/>
        <name val="Calibri"/>
        <scheme val="none"/>
      </font>
      <numFmt numFmtId="164" formatCode="_(* #,##0.00_);_(* \(#,##0.00\);_(* &quot;-&quot;??_);_(@_)"/>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auto="1"/>
        <name val="Calibri"/>
        <scheme val="none"/>
      </font>
      <numFmt numFmtId="164" formatCode="_(* #,##0.00_);_(* \(#,##0.00\);_(* &quot;-&quot;??_);_(@_)"/>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numFmt numFmtId="164" formatCode="_(* #,##0.00_);_(* \(#,##0.00\);_(* &quot;-&quot;??_);_(@_)"/>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rgb="FF000000"/>
        <name val="Calibri"/>
        <scheme val="none"/>
      </font>
      <numFmt numFmtId="167" formatCode="dd/mm/yyyy;@"/>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rgb="FF000000"/>
        <name val="Calibri"/>
        <scheme val="none"/>
      </font>
      <alignment horizontal="general" vertical="bottom" textRotation="0" wrapText="1" indent="0" justifyLastLine="0" shrinkToFit="0" readingOrder="0"/>
    </dxf>
    <dxf>
      <numFmt numFmtId="164" formatCode="_(* #,##0.00_);_(* \(#,##0.00\);_(* &quot;-&quot;??_);_(@_)"/>
    </dxf>
    <dxf>
      <numFmt numFmtId="164" formatCode="_(* #,##0.00_);_(* \(#,##0.00\);_(* &quot;-&quot;??_);_(@_)"/>
      <protection locked="1" hidden="0"/>
    </dxf>
    <dxf>
      <numFmt numFmtId="164" formatCode="_(* #,##0.00_);_(* \(#,##0.00\);_(* &quot;-&quot;??_);_(@_)"/>
    </dxf>
    <dxf>
      <font>
        <b val="0"/>
        <i val="0"/>
        <strike val="0"/>
        <condense val="0"/>
        <extend val="0"/>
        <outline val="0"/>
        <shadow val="0"/>
        <u val="none"/>
        <vertAlign val="baseline"/>
        <sz val="11"/>
        <color theme="1"/>
        <name val="Calibri"/>
        <scheme val="minor"/>
      </font>
      <protection locked="0" hidden="0"/>
    </dxf>
    <dxf>
      <numFmt numFmtId="164" formatCode="_(* #,##0.00_);_(* \(#,##0.00\);_(* &quot;-&quot;??_);_(@_)"/>
    </dxf>
    <dxf>
      <font>
        <b val="0"/>
        <i val="0"/>
        <strike val="0"/>
        <condense val="0"/>
        <extend val="0"/>
        <outline val="0"/>
        <shadow val="0"/>
        <u val="none"/>
        <vertAlign val="baseline"/>
        <sz val="11"/>
        <color theme="1"/>
        <name val="Calibri"/>
        <scheme val="minor"/>
      </font>
      <protection locked="0" hidden="0"/>
    </dxf>
    <dxf>
      <numFmt numFmtId="164" formatCode="_(* #,##0.00_);_(* \(#,##0.00\);_(* &quot;-&quot;??_);_(@_)"/>
    </dxf>
    <dxf>
      <font>
        <b val="0"/>
        <i val="0"/>
        <strike val="0"/>
        <condense val="0"/>
        <extend val="0"/>
        <outline val="0"/>
        <shadow val="0"/>
        <u val="none"/>
        <vertAlign val="baseline"/>
        <sz val="11"/>
        <color theme="1"/>
        <name val="Calibri"/>
        <scheme val="minor"/>
      </font>
      <protection locked="0" hidden="0"/>
    </dxf>
    <dxf>
      <numFmt numFmtId="164" formatCode="_(* #,##0.00_);_(* \(#,##0.00\);_(* &quot;-&quot;??_);_(@_)"/>
    </dxf>
    <dxf>
      <protection locked="0" hidden="0"/>
    </dxf>
    <dxf>
      <numFmt numFmtId="164" formatCode="_(* #,##0.00_);_(* \(#,##0.00\);_(* &quot;-&quot;??_);_(@_)"/>
    </dxf>
    <dxf>
      <font>
        <b val="0"/>
        <i val="0"/>
        <strike val="0"/>
        <condense val="0"/>
        <extend val="0"/>
        <outline val="0"/>
        <shadow val="0"/>
        <u val="none"/>
        <vertAlign val="baseline"/>
        <sz val="11"/>
        <color theme="1"/>
        <name val="Calibri"/>
        <scheme val="minor"/>
      </font>
      <protection locked="0" hidden="0"/>
    </dxf>
    <dxf>
      <numFmt numFmtId="164" formatCode="_(* #,##0.00_);_(* \(#,##0.00\);_(* &quot;-&quot;??_);_(@_)"/>
    </dxf>
    <dxf>
      <font>
        <b val="0"/>
        <i val="0"/>
        <strike val="0"/>
        <condense val="0"/>
        <extend val="0"/>
        <outline val="0"/>
        <shadow val="0"/>
        <u val="none"/>
        <vertAlign val="baseline"/>
        <sz val="11"/>
        <color theme="1"/>
        <name val="Calibri"/>
        <scheme val="minor"/>
      </font>
      <protection locked="0" hidden="0"/>
    </dxf>
    <dxf>
      <numFmt numFmtId="164" formatCode="_(* #,##0.00_);_(* \(#,##0.00\);_(* &quot;-&quot;??_);_(@_)"/>
    </dxf>
    <dxf>
      <font>
        <b val="0"/>
        <i val="0"/>
        <strike val="0"/>
        <condense val="0"/>
        <extend val="0"/>
        <outline val="0"/>
        <shadow val="0"/>
        <u val="none"/>
        <vertAlign val="baseline"/>
        <sz val="11"/>
        <color theme="1"/>
        <name val="Calibri"/>
        <scheme val="minor"/>
      </font>
      <protection locked="0" hidden="0"/>
    </dxf>
    <dxf>
      <numFmt numFmtId="164" formatCode="_(* #,##0.00_);_(* \(#,##0.00\);_(* &quot;-&quot;??_);_(@_)"/>
    </dxf>
    <dxf>
      <font>
        <b val="0"/>
        <i val="0"/>
        <strike val="0"/>
        <condense val="0"/>
        <extend val="0"/>
        <outline val="0"/>
        <shadow val="0"/>
        <u val="none"/>
        <vertAlign val="baseline"/>
        <sz val="11"/>
        <color theme="1"/>
        <name val="Calibri"/>
        <scheme val="minor"/>
      </font>
      <protection locked="0" hidden="0"/>
    </dxf>
    <dxf>
      <numFmt numFmtId="164" formatCode="_(* #,##0.00_);_(* \(#,##0.00\);_(* &quot;-&quot;??_);_(@_)"/>
    </dxf>
    <dxf>
      <protection locked="0" hidden="0"/>
    </dxf>
    <dxf>
      <numFmt numFmtId="164" formatCode="_(* #,##0.00_);_(* \(#,##0.00\);_(* &quot;-&quot;??_);_(@_)"/>
    </dxf>
    <dxf>
      <protection locked="0" hidden="0"/>
    </dxf>
    <dxf>
      <numFmt numFmtId="164" formatCode="_(* #,##0.00_);_(* \(#,##0.00\);_(* &quot;-&quot;??_);_(@_)"/>
    </dxf>
    <dxf>
      <font>
        <b val="0"/>
        <i val="0"/>
        <strike val="0"/>
        <condense val="0"/>
        <extend val="0"/>
        <outline val="0"/>
        <shadow val="0"/>
        <u val="none"/>
        <vertAlign val="baseline"/>
        <sz val="11"/>
        <color theme="1"/>
        <name val="Calibri"/>
        <scheme val="minor"/>
      </font>
      <protection locked="0" hidden="0"/>
    </dxf>
    <dxf>
      <numFmt numFmtId="164" formatCode="_(* #,##0.00_);_(* \(#,##0.00\);_(* &quot;-&quot;??_);_(@_)"/>
    </dxf>
    <dxf>
      <protection locked="0" hidden="0"/>
    </dxf>
    <dxf>
      <numFmt numFmtId="164" formatCode="_(* #,##0.00_);_(* \(#,##0.00\);_(* &quot;-&quot;??_);_(@_)"/>
    </dxf>
    <dxf>
      <protection locked="0" hidden="0"/>
    </dxf>
    <dxf>
      <numFmt numFmtId="164" formatCode="_(* #,##0.00_);_(* \(#,##0.00\);_(* &quot;-&quot;??_);_(@_)"/>
    </dxf>
    <dxf>
      <protection locked="0" hidden="0"/>
    </dxf>
    <dxf>
      <numFmt numFmtId="164" formatCode="_(* #,##0.00_);_(* \(#,##0.00\);_(* &quot;-&quot;??_);_(@_)"/>
    </dxf>
    <dxf>
      <font>
        <b val="0"/>
        <i val="0"/>
        <strike val="0"/>
        <condense val="0"/>
        <extend val="0"/>
        <outline val="0"/>
        <shadow val="0"/>
        <u val="none"/>
        <vertAlign val="baseline"/>
        <sz val="11"/>
        <color theme="1"/>
        <name val="Calibri"/>
        <scheme val="minor"/>
      </font>
      <protection locked="0" hidden="0"/>
    </dxf>
    <dxf>
      <numFmt numFmtId="164" formatCode="_(* #,##0.00_);_(* \(#,##0.00\);_(* &quot;-&quot;??_);_(@_)"/>
    </dxf>
    <dxf>
      <protection locked="0" hidden="0"/>
    </dxf>
    <dxf>
      <numFmt numFmtId="164" formatCode="_(* #,##0.00_);_(* \(#,##0.00\);_(* &quot;-&quot;??_);_(@_)"/>
    </dxf>
    <dxf>
      <protection locked="0" hidden="0"/>
    </dxf>
    <dxf>
      <numFmt numFmtId="164" formatCode="_(* #,##0.00_);_(* \(#,##0.00\);_(* &quot;-&quot;??_);_(@_)"/>
    </dxf>
    <dxf>
      <protection locked="1" hidden="0"/>
    </dxf>
    <dxf>
      <numFmt numFmtId="164" formatCode="_(* #,##0.00_);_(* \(#,##0.00\);_(* &quot;-&quot;??_);_(@_)"/>
    </dxf>
    <dxf>
      <protection locked="1" hidden="0"/>
    </dxf>
    <dxf>
      <numFmt numFmtId="164" formatCode="_(* #,##0.00_);_(* \(#,##0.00\);_(* &quot;-&quot;??_);_(@_)"/>
    </dxf>
    <dxf>
      <protection locked="1" hidden="0"/>
    </dxf>
    <dxf>
      <numFmt numFmtId="164" formatCode="_(* #,##0.00_);_(* \(#,##0.00\);_(* &quot;-&quot;??_);_(@_)"/>
    </dxf>
    <dxf>
      <protection locked="1" hidden="0"/>
    </dxf>
    <dxf>
      <numFmt numFmtId="164" formatCode="_(* #,##0.00_);_(* \(#,##0.00\);_(* &quot;-&quot;??_);_(@_)"/>
    </dxf>
    <dxf>
      <protection locked="1" hidden="0"/>
    </dxf>
    <dxf>
      <numFmt numFmtId="164" formatCode="_(* #,##0.00_);_(* \(#,##0.00\);_(* &quot;-&quot;??_);_(@_)"/>
    </dxf>
    <dxf>
      <protection locked="1" hidden="0"/>
    </dxf>
    <dxf>
      <protection locked="0" hidden="0"/>
    </dxf>
    <dxf>
      <numFmt numFmtId="167" formatCode="dd/mm/yyyy;@"/>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C55911"/>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5C9BD5"/>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FFD865"/>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70AD46"/>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5C9BD5"/>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FFD865"/>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70AD46"/>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5C9BD5"/>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FFD865"/>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92D050"/>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FFD865"/>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5C9BD5"/>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92D050"/>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5C9BD5"/>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FFD865"/>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92D050"/>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fill>
        <patternFill patternType="solid">
          <fgColor indexed="64"/>
          <bgColor rgb="FFBED7EE"/>
        </patternFill>
      </fill>
      <alignment horizontal="general" vertical="bottom" textRotation="0" wrapText="0" indent="0" justifyLastLine="0" shrinkToFit="0" readingOrder="0"/>
      <protection locked="1" hidden="1"/>
    </dxf>
    <dxf>
      <font>
        <b/>
        <i val="0"/>
        <strike val="0"/>
        <condense val="0"/>
        <extend val="0"/>
        <outline val="0"/>
        <shadow val="0"/>
        <u val="none"/>
        <vertAlign val="baseline"/>
        <sz val="11"/>
        <color rgb="FF000000"/>
        <name val="Calibri"/>
        <scheme val="none"/>
      </font>
      <numFmt numFmtId="164" formatCode="_(* #,##0.00_);_(* \(#,##0.00\);_(* &quot;-&quot;??_);_(@_)"/>
      <protection locked="1" hidden="1"/>
    </dxf>
    <dxf>
      <font>
        <b val="0"/>
        <i val="0"/>
        <strike val="0"/>
        <condense val="0"/>
        <extend val="0"/>
        <outline val="0"/>
        <shadow val="0"/>
        <u val="none"/>
        <vertAlign val="baseline"/>
        <sz val="11"/>
        <color rgb="FF000000"/>
        <name val="Calibri"/>
        <scheme val="none"/>
      </font>
      <numFmt numFmtId="164" formatCode="_(* #,##0.00_);_(* \(#,##0.00\);_(* &quot;-&quot;??_);_(@_)"/>
      <alignment horizontal="general" vertical="bottom" textRotation="0" wrapText="0" indent="0" justifyLastLine="0" shrinkToFit="0" readingOrder="0"/>
      <protection locked="1" hidden="1"/>
    </dxf>
    <dxf>
      <font>
        <b/>
        <i val="0"/>
        <strike val="0"/>
        <condense val="0"/>
        <extend val="0"/>
        <outline val="0"/>
        <shadow val="0"/>
        <u val="none"/>
        <vertAlign val="baseline"/>
        <sz val="11"/>
        <color rgb="FF000000"/>
        <name val="Calibri"/>
        <scheme val="none"/>
      </font>
      <protection locked="1" hidden="1"/>
    </dxf>
    <dxf>
      <font>
        <b val="0"/>
        <i val="0"/>
        <strike val="0"/>
        <condense val="0"/>
        <extend val="0"/>
        <outline val="0"/>
        <shadow val="0"/>
        <u val="none"/>
        <vertAlign val="baseline"/>
        <sz val="11"/>
        <color rgb="FF000000"/>
        <name val="Calibri"/>
        <scheme val="none"/>
      </font>
      <numFmt numFmtId="165" formatCode="d/mm/yyyy;@"/>
      <alignment horizontal="general" vertical="bottom" textRotation="0" wrapText="0" indent="0" justifyLastLine="0" shrinkToFit="0" readingOrder="0"/>
      <protection locked="1" hidden="1"/>
    </dxf>
    <dxf>
      <font>
        <b/>
      </font>
      <numFmt numFmtId="17" formatCode="#\ ?/?"/>
      <protection locked="1" hidden="1"/>
    </dxf>
    <dxf>
      <numFmt numFmtId="17" formatCode="#\ ?/?"/>
      <protection locked="1" hidden="1"/>
    </dxf>
    <dxf>
      <font>
        <b/>
        <i val="0"/>
        <strike val="0"/>
        <condense val="0"/>
        <extend val="0"/>
        <outline val="0"/>
        <shadow val="0"/>
        <u/>
        <vertAlign val="baseline"/>
        <sz val="11"/>
        <color rgb="FF000000"/>
        <name val="Calibri"/>
        <scheme val="none"/>
      </font>
      <numFmt numFmtId="17" formatCode="#\ ?/?"/>
      <fill>
        <patternFill patternType="solid">
          <fgColor indexed="64"/>
          <bgColor rgb="FF5C9BD5"/>
        </patternFill>
      </fill>
      <alignment horizontal="general" vertical="bottom" textRotation="0" wrapText="0" indent="0" justifyLastLine="0" shrinkToFit="0" readingOrder="0"/>
      <protection locked="1" hidden="1"/>
    </dxf>
    <dxf>
      <numFmt numFmtId="164" formatCode="_(* #,##0.00_);_(* \(#,##0.00\);_(* &quot;-&quot;??_);_(@_)"/>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rgb="FF000000"/>
        <name val="Calibri"/>
        <scheme val="none"/>
      </font>
      <numFmt numFmtId="165" formatCode="d/mm/yyyy;@"/>
      <alignment horizontal="general" vertical="bottom" textRotation="0" wrapText="0" indent="0" justifyLastLine="0" shrinkToFit="0" readingOrder="0"/>
      <protection locked="0" hidden="0"/>
    </dxf>
    <dxf>
      <protection locked="1" hidden="0"/>
    </dxf>
    <dxf>
      <protection locked="0"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1581150</xdr:colOff>
          <xdr:row>218</xdr:row>
          <xdr:rowOff>133350</xdr:rowOff>
        </xdr:from>
        <xdr:to>
          <xdr:col>9</xdr:col>
          <xdr:colOff>1228725</xdr:colOff>
          <xdr:row>221</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FF0000"/>
                  </a:solidFill>
                  <a:latin typeface="Adca"/>
                </a:rPr>
                <a:t>CREATE BACKUP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171450</xdr:colOff>
          <xdr:row>218</xdr:row>
          <xdr:rowOff>133350</xdr:rowOff>
        </xdr:from>
        <xdr:to>
          <xdr:col>7</xdr:col>
          <xdr:colOff>342900</xdr:colOff>
          <xdr:row>221</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CCFF"/>
                  </a:solidFill>
                  <a:latin typeface="Adca"/>
                </a:rPr>
                <a:t>GENERATE WEEKLY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400050</xdr:colOff>
          <xdr:row>218</xdr:row>
          <xdr:rowOff>133350</xdr:rowOff>
        </xdr:from>
        <xdr:to>
          <xdr:col>5</xdr:col>
          <xdr:colOff>1666875</xdr:colOff>
          <xdr:row>221</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ENTER RECEIPT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1381125</xdr:colOff>
          <xdr:row>218</xdr:row>
          <xdr:rowOff>133350</xdr:rowOff>
        </xdr:from>
        <xdr:to>
          <xdr:col>4</xdr:col>
          <xdr:colOff>1209675</xdr:colOff>
          <xdr:row>221</xdr:row>
          <xdr:rowOff>76200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9900"/>
                  </a:solidFill>
                  <a:latin typeface="Adca"/>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1276350</xdr:colOff>
          <xdr:row>218</xdr:row>
          <xdr:rowOff>133350</xdr:rowOff>
        </xdr:from>
        <xdr:to>
          <xdr:col>3</xdr:col>
          <xdr:colOff>838200</xdr:colOff>
          <xdr:row>221</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0000"/>
                  </a:solidFill>
                  <a:latin typeface="Adca"/>
                </a:rPr>
                <a:t>RECORD EXPENDITURE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276225</xdr:colOff>
          <xdr:row>218</xdr:row>
          <xdr:rowOff>133350</xdr:rowOff>
        </xdr:from>
        <xdr:to>
          <xdr:col>2</xdr:col>
          <xdr:colOff>723900</xdr:colOff>
          <xdr:row>221</xdr:row>
          <xdr:rowOff>76200</xdr:rowOff>
        </xdr:to>
        <xdr:sp macro="" textlink="">
          <xdr:nvSpPr>
            <xdr:cNvPr id="1031" name="Button 7"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8000"/>
                  </a:solidFill>
                  <a:latin typeface="Adca"/>
                </a:rPr>
                <a:t>RECORD OTHER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885825</xdr:colOff>
          <xdr:row>218</xdr:row>
          <xdr:rowOff>133350</xdr:rowOff>
        </xdr:from>
        <xdr:to>
          <xdr:col>8</xdr:col>
          <xdr:colOff>1038225</xdr:colOff>
          <xdr:row>221</xdr:row>
          <xdr:rowOff>76200</xdr:rowOff>
        </xdr:to>
        <xdr:sp macro="" textlink="">
          <xdr:nvSpPr>
            <xdr:cNvPr id="1032" name="Button 8"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HERITAGE FUND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904875</xdr:colOff>
          <xdr:row>114</xdr:row>
          <xdr:rowOff>123825</xdr:rowOff>
        </xdr:from>
        <xdr:to>
          <xdr:col>10</xdr:col>
          <xdr:colOff>142875</xdr:colOff>
          <xdr:row>117</xdr:row>
          <xdr:rowOff>38100</xdr:rowOff>
        </xdr:to>
        <xdr:sp macro="" textlink="">
          <xdr:nvSpPr>
            <xdr:cNvPr id="2057" name="Button 9" hidden="1">
              <a:extLst>
                <a:ext uri="{63B3BB69-23CF-44E3-9099-C40C66FF867C}">
                  <a14:compatExt spid="_x0000_s2057"/>
                </a:ext>
                <a:ext uri="{FF2B5EF4-FFF2-40B4-BE49-F238E27FC236}">
                  <a16:creationId xmlns:a16="http://schemas.microsoft.com/office/drawing/2014/main" xmlns=""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FF0000"/>
                  </a:solidFill>
                  <a:latin typeface="Adca"/>
                </a:rPr>
                <a:t>CREATE BACKUP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228600</xdr:colOff>
          <xdr:row>114</xdr:row>
          <xdr:rowOff>123825</xdr:rowOff>
        </xdr:from>
        <xdr:to>
          <xdr:col>8</xdr:col>
          <xdr:colOff>628650</xdr:colOff>
          <xdr:row>117</xdr:row>
          <xdr:rowOff>38100</xdr:rowOff>
        </xdr:to>
        <xdr:sp macro="" textlink="">
          <xdr:nvSpPr>
            <xdr:cNvPr id="2058" name="Button 10" hidden="1">
              <a:extLst>
                <a:ext uri="{63B3BB69-23CF-44E3-9099-C40C66FF867C}">
                  <a14:compatExt spid="_x0000_s2058"/>
                </a:ext>
                <a:ext uri="{FF2B5EF4-FFF2-40B4-BE49-F238E27FC236}">
                  <a16:creationId xmlns:a16="http://schemas.microsoft.com/office/drawing/2014/main" xmlns=""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CCFF"/>
                  </a:solidFill>
                  <a:latin typeface="Adca"/>
                </a:rPr>
                <a:t>GENERATE WEEKLY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1323975</xdr:colOff>
          <xdr:row>114</xdr:row>
          <xdr:rowOff>123825</xdr:rowOff>
        </xdr:from>
        <xdr:to>
          <xdr:col>6</xdr:col>
          <xdr:colOff>1085850</xdr:colOff>
          <xdr:row>117</xdr:row>
          <xdr:rowOff>38100</xdr:rowOff>
        </xdr:to>
        <xdr:sp macro="" textlink="">
          <xdr:nvSpPr>
            <xdr:cNvPr id="2059" name="Button 11" hidden="1">
              <a:extLst>
                <a:ext uri="{63B3BB69-23CF-44E3-9099-C40C66FF867C}">
                  <a14:compatExt spid="_x0000_s2059"/>
                </a:ext>
                <a:ext uri="{FF2B5EF4-FFF2-40B4-BE49-F238E27FC236}">
                  <a16:creationId xmlns:a16="http://schemas.microsoft.com/office/drawing/2014/main" xmlns=""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ENTER RECEIPT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1095375</xdr:colOff>
          <xdr:row>114</xdr:row>
          <xdr:rowOff>123825</xdr:rowOff>
        </xdr:from>
        <xdr:to>
          <xdr:col>5</xdr:col>
          <xdr:colOff>1057275</xdr:colOff>
          <xdr:row>117</xdr:row>
          <xdr:rowOff>38100</xdr:rowOff>
        </xdr:to>
        <xdr:sp macro="" textlink="">
          <xdr:nvSpPr>
            <xdr:cNvPr id="2060" name="Button 12" hidden="1">
              <a:extLst>
                <a:ext uri="{63B3BB69-23CF-44E3-9099-C40C66FF867C}">
                  <a14:compatExt spid="_x0000_s2060"/>
                </a:ext>
                <a:ext uri="{FF2B5EF4-FFF2-40B4-BE49-F238E27FC236}">
                  <a16:creationId xmlns:a16="http://schemas.microsoft.com/office/drawing/2014/main" xmlns=""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9900"/>
                  </a:solidFill>
                  <a:latin typeface="Adca"/>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904875</xdr:colOff>
          <xdr:row>114</xdr:row>
          <xdr:rowOff>114300</xdr:rowOff>
        </xdr:from>
        <xdr:to>
          <xdr:col>4</xdr:col>
          <xdr:colOff>800100</xdr:colOff>
          <xdr:row>117</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xmlns=""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0000"/>
                  </a:solidFill>
                  <a:latin typeface="Adca"/>
                </a:rPr>
                <a:t>RECORD EXPENDITURE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419100</xdr:colOff>
          <xdr:row>114</xdr:row>
          <xdr:rowOff>123825</xdr:rowOff>
        </xdr:from>
        <xdr:to>
          <xdr:col>11</xdr:col>
          <xdr:colOff>0</xdr:colOff>
          <xdr:row>117</xdr:row>
          <xdr:rowOff>38100</xdr:rowOff>
        </xdr:to>
        <xdr:sp macro="" textlink="">
          <xdr:nvSpPr>
            <xdr:cNvPr id="2063" name="Button 15" hidden="1">
              <a:extLst>
                <a:ext uri="{63B3BB69-23CF-44E3-9099-C40C66FF867C}">
                  <a14:compatExt spid="_x0000_s2063"/>
                </a:ext>
                <a:ext uri="{FF2B5EF4-FFF2-40B4-BE49-F238E27FC236}">
                  <a16:creationId xmlns:a16="http://schemas.microsoft.com/office/drawing/2014/main" xmlns=""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HERITAGE FUND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1000125</xdr:colOff>
          <xdr:row>114</xdr:row>
          <xdr:rowOff>123825</xdr:rowOff>
        </xdr:from>
        <xdr:to>
          <xdr:col>3</xdr:col>
          <xdr:colOff>628650</xdr:colOff>
          <xdr:row>117</xdr:row>
          <xdr:rowOff>38100</xdr:rowOff>
        </xdr:to>
        <xdr:sp macro="" textlink="">
          <xdr:nvSpPr>
            <xdr:cNvPr id="2064" name="Button 16" hidden="1">
              <a:extLst>
                <a:ext uri="{63B3BB69-23CF-44E3-9099-C40C66FF867C}">
                  <a14:compatExt spid="_x0000_s2064"/>
                </a:ext>
                <a:ext uri="{FF2B5EF4-FFF2-40B4-BE49-F238E27FC236}">
                  <a16:creationId xmlns:a16="http://schemas.microsoft.com/office/drawing/2014/main" xmlns=""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571500</xdr:colOff>
          <xdr:row>115</xdr:row>
          <xdr:rowOff>19050</xdr:rowOff>
        </xdr:from>
        <xdr:to>
          <xdr:col>6</xdr:col>
          <xdr:colOff>914400</xdr:colOff>
          <xdr:row>117</xdr:row>
          <xdr:rowOff>171450</xdr:rowOff>
        </xdr:to>
        <xdr:sp macro="" textlink="">
          <xdr:nvSpPr>
            <xdr:cNvPr id="3081" name="Button 9" hidden="1">
              <a:extLst>
                <a:ext uri="{63B3BB69-23CF-44E3-9099-C40C66FF867C}">
                  <a14:compatExt spid="_x0000_s3081"/>
                </a:ext>
                <a:ext uri="{FF2B5EF4-FFF2-40B4-BE49-F238E27FC236}">
                  <a16:creationId xmlns:a16="http://schemas.microsoft.com/office/drawing/2014/main" xmlns=""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FF0000"/>
                  </a:solidFill>
                  <a:latin typeface="Adca"/>
                </a:rPr>
                <a:t>CREATE BACKUP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457200</xdr:colOff>
          <xdr:row>115</xdr:row>
          <xdr:rowOff>19050</xdr:rowOff>
        </xdr:from>
        <xdr:to>
          <xdr:col>5</xdr:col>
          <xdr:colOff>447675</xdr:colOff>
          <xdr:row>117</xdr:row>
          <xdr:rowOff>171450</xdr:rowOff>
        </xdr:to>
        <xdr:sp macro="" textlink="">
          <xdr:nvSpPr>
            <xdr:cNvPr id="3082" name="Button 10" hidden="1">
              <a:extLst>
                <a:ext uri="{63B3BB69-23CF-44E3-9099-C40C66FF867C}">
                  <a14:compatExt spid="_x0000_s3082"/>
                </a:ext>
                <a:ext uri="{FF2B5EF4-FFF2-40B4-BE49-F238E27FC236}">
                  <a16:creationId xmlns:a16="http://schemas.microsoft.com/office/drawing/2014/main" xmlns=""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CCFF"/>
                  </a:solidFill>
                  <a:latin typeface="Adca"/>
                </a:rPr>
                <a:t>GENERATE WEEKLY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180975</xdr:colOff>
          <xdr:row>115</xdr:row>
          <xdr:rowOff>19050</xdr:rowOff>
        </xdr:from>
        <xdr:to>
          <xdr:col>4</xdr:col>
          <xdr:colOff>323850</xdr:colOff>
          <xdr:row>117</xdr:row>
          <xdr:rowOff>152400</xdr:rowOff>
        </xdr:to>
        <xdr:sp macro="" textlink="">
          <xdr:nvSpPr>
            <xdr:cNvPr id="3083" name="Button 11" hidden="1">
              <a:extLst>
                <a:ext uri="{63B3BB69-23CF-44E3-9099-C40C66FF867C}">
                  <a14:compatExt spid="_x0000_s3083"/>
                </a:ext>
                <a:ext uri="{FF2B5EF4-FFF2-40B4-BE49-F238E27FC236}">
                  <a16:creationId xmlns:a16="http://schemas.microsoft.com/office/drawing/2014/main" xmlns=""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ENTER RECEIPT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1695450</xdr:colOff>
          <xdr:row>115</xdr:row>
          <xdr:rowOff>19050</xdr:rowOff>
        </xdr:from>
        <xdr:to>
          <xdr:col>3</xdr:col>
          <xdr:colOff>57150</xdr:colOff>
          <xdr:row>117</xdr:row>
          <xdr:rowOff>152400</xdr:rowOff>
        </xdr:to>
        <xdr:sp macro="" textlink="">
          <xdr:nvSpPr>
            <xdr:cNvPr id="3084" name="Button 12" hidden="1">
              <a:extLst>
                <a:ext uri="{63B3BB69-23CF-44E3-9099-C40C66FF867C}">
                  <a14:compatExt spid="_x0000_s3084"/>
                </a:ext>
                <a:ext uri="{FF2B5EF4-FFF2-40B4-BE49-F238E27FC236}">
                  <a16:creationId xmlns:a16="http://schemas.microsoft.com/office/drawing/2014/main" xmlns=""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9900"/>
                  </a:solidFill>
                  <a:latin typeface="Adca"/>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180975</xdr:colOff>
          <xdr:row>115</xdr:row>
          <xdr:rowOff>19050</xdr:rowOff>
        </xdr:from>
        <xdr:to>
          <xdr:col>9</xdr:col>
          <xdr:colOff>276225</xdr:colOff>
          <xdr:row>117</xdr:row>
          <xdr:rowOff>152400</xdr:rowOff>
        </xdr:to>
        <xdr:sp macro="" textlink="">
          <xdr:nvSpPr>
            <xdr:cNvPr id="3086" name="Button 14" hidden="1">
              <a:extLst>
                <a:ext uri="{63B3BB69-23CF-44E3-9099-C40C66FF867C}">
                  <a14:compatExt spid="_x0000_s3086"/>
                </a:ext>
                <a:ext uri="{FF2B5EF4-FFF2-40B4-BE49-F238E27FC236}">
                  <a16:creationId xmlns:a16="http://schemas.microsoft.com/office/drawing/2014/main" xmlns=""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8000"/>
                  </a:solidFill>
                  <a:latin typeface="Adca"/>
                </a:rPr>
                <a:t>RECORD OTHER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1057275</xdr:colOff>
          <xdr:row>115</xdr:row>
          <xdr:rowOff>19050</xdr:rowOff>
        </xdr:from>
        <xdr:to>
          <xdr:col>8</xdr:col>
          <xdr:colOff>57150</xdr:colOff>
          <xdr:row>117</xdr:row>
          <xdr:rowOff>171450</xdr:rowOff>
        </xdr:to>
        <xdr:sp macro="" textlink="">
          <xdr:nvSpPr>
            <xdr:cNvPr id="3087" name="Button 15" hidden="1">
              <a:extLst>
                <a:ext uri="{63B3BB69-23CF-44E3-9099-C40C66FF867C}">
                  <a14:compatExt spid="_x0000_s3087"/>
                </a:ext>
                <a:ext uri="{FF2B5EF4-FFF2-40B4-BE49-F238E27FC236}">
                  <a16:creationId xmlns:a16="http://schemas.microsoft.com/office/drawing/2014/main" xmlns=""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HERITAGE FUND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115</xdr:row>
          <xdr:rowOff>19050</xdr:rowOff>
        </xdr:from>
        <xdr:to>
          <xdr:col>1</xdr:col>
          <xdr:colOff>1571625</xdr:colOff>
          <xdr:row>117</xdr:row>
          <xdr:rowOff>152400</xdr:rowOff>
        </xdr:to>
        <xdr:sp macro="" textlink="">
          <xdr:nvSpPr>
            <xdr:cNvPr id="3088" name="Button 16" hidden="1">
              <a:extLst>
                <a:ext uri="{63B3BB69-23CF-44E3-9099-C40C66FF867C}">
                  <a14:compatExt spid="_x0000_s3088"/>
                </a:ext>
                <a:ext uri="{FF2B5EF4-FFF2-40B4-BE49-F238E27FC236}">
                  <a16:creationId xmlns:a16="http://schemas.microsoft.com/office/drawing/2014/main" xmlns=""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HOME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238125</xdr:colOff>
          <xdr:row>13</xdr:row>
          <xdr:rowOff>123825</xdr:rowOff>
        </xdr:from>
        <xdr:to>
          <xdr:col>7</xdr:col>
          <xdr:colOff>209550</xdr:colOff>
          <xdr:row>17</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FF0000"/>
                  </a:solidFill>
                  <a:latin typeface="Adca"/>
                </a:rPr>
                <a:t>CREATE BACKUP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276225</xdr:colOff>
          <xdr:row>8</xdr:row>
          <xdr:rowOff>152400</xdr:rowOff>
        </xdr:from>
        <xdr:to>
          <xdr:col>12</xdr:col>
          <xdr:colOff>19050</xdr:colOff>
          <xdr:row>12</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xmlns=""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CCFF"/>
                  </a:solidFill>
                  <a:latin typeface="Adca"/>
                </a:rPr>
                <a:t>GENERATE WEEKLY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295275</xdr:colOff>
          <xdr:row>8</xdr:row>
          <xdr:rowOff>152400</xdr:rowOff>
        </xdr:from>
        <xdr:to>
          <xdr:col>7</xdr:col>
          <xdr:colOff>47625</xdr:colOff>
          <xdr:row>12</xdr:row>
          <xdr:rowOff>66675</xdr:rowOff>
        </xdr:to>
        <xdr:sp macro="" textlink="">
          <xdr:nvSpPr>
            <xdr:cNvPr id="4099" name="Button 3" hidden="1">
              <a:extLst>
                <a:ext uri="{63B3BB69-23CF-44E3-9099-C40C66FF867C}">
                  <a14:compatExt spid="_x0000_s4099"/>
                </a:ext>
                <a:ext uri="{FF2B5EF4-FFF2-40B4-BE49-F238E27FC236}">
                  <a16:creationId xmlns:a16="http://schemas.microsoft.com/office/drawing/2014/main" xmlns=""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ENTER RECEIPT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257175</xdr:colOff>
          <xdr:row>13</xdr:row>
          <xdr:rowOff>123825</xdr:rowOff>
        </xdr:from>
        <xdr:to>
          <xdr:col>12</xdr:col>
          <xdr:colOff>38100</xdr:colOff>
          <xdr:row>17</xdr:row>
          <xdr:rowOff>38100</xdr:rowOff>
        </xdr:to>
        <xdr:sp macro="" textlink="">
          <xdr:nvSpPr>
            <xdr:cNvPr id="4101" name="Button 5" hidden="1">
              <a:extLst>
                <a:ext uri="{63B3BB69-23CF-44E3-9099-C40C66FF867C}">
                  <a14:compatExt spid="_x0000_s4101"/>
                </a:ext>
                <a:ext uri="{FF2B5EF4-FFF2-40B4-BE49-F238E27FC236}">
                  <a16:creationId xmlns:a16="http://schemas.microsoft.com/office/drawing/2014/main" xmlns=""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0000"/>
                  </a:solidFill>
                  <a:latin typeface="Adca"/>
                </a:rPr>
                <a:t>RECORD EXPENDITURE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13</xdr:row>
          <xdr:rowOff>123825</xdr:rowOff>
        </xdr:from>
        <xdr:to>
          <xdr:col>9</xdr:col>
          <xdr:colOff>152400</xdr:colOff>
          <xdr:row>17</xdr:row>
          <xdr:rowOff>38100</xdr:rowOff>
        </xdr:to>
        <xdr:sp macro="" textlink="">
          <xdr:nvSpPr>
            <xdr:cNvPr id="4102" name="Button 6" hidden="1">
              <a:extLst>
                <a:ext uri="{63B3BB69-23CF-44E3-9099-C40C66FF867C}">
                  <a14:compatExt spid="_x0000_s4102"/>
                </a:ext>
                <a:ext uri="{FF2B5EF4-FFF2-40B4-BE49-F238E27FC236}">
                  <a16:creationId xmlns:a16="http://schemas.microsoft.com/office/drawing/2014/main" xmlns=""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8000"/>
                  </a:solidFill>
                  <a:latin typeface="Adca"/>
                </a:rPr>
                <a:t>RECORD OTHER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238125</xdr:colOff>
          <xdr:row>8</xdr:row>
          <xdr:rowOff>152400</xdr:rowOff>
        </xdr:from>
        <xdr:to>
          <xdr:col>9</xdr:col>
          <xdr:colOff>85725</xdr:colOff>
          <xdr:row>12</xdr:row>
          <xdr:rowOff>66675</xdr:rowOff>
        </xdr:to>
        <xdr:sp macro="" textlink="">
          <xdr:nvSpPr>
            <xdr:cNvPr id="4103" name="Button 7" hidden="1">
              <a:extLst>
                <a:ext uri="{63B3BB69-23CF-44E3-9099-C40C66FF867C}">
                  <a14:compatExt spid="_x0000_s4103"/>
                </a:ext>
                <a:ext uri="{FF2B5EF4-FFF2-40B4-BE49-F238E27FC236}">
                  <a16:creationId xmlns:a16="http://schemas.microsoft.com/office/drawing/2014/main" xmlns=""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HERITAGE FUND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314325</xdr:colOff>
          <xdr:row>4</xdr:row>
          <xdr:rowOff>38100</xdr:rowOff>
        </xdr:from>
        <xdr:to>
          <xdr:col>7</xdr:col>
          <xdr:colOff>47625</xdr:colOff>
          <xdr:row>7</xdr:row>
          <xdr:rowOff>209550</xdr:rowOff>
        </xdr:to>
        <xdr:sp macro="" textlink="">
          <xdr:nvSpPr>
            <xdr:cNvPr id="4104" name="Button 8" hidden="1">
              <a:extLst>
                <a:ext uri="{63B3BB69-23CF-44E3-9099-C40C66FF867C}">
                  <a14:compatExt spid="_x0000_s4104"/>
                </a:ext>
                <a:ext uri="{FF2B5EF4-FFF2-40B4-BE49-F238E27FC236}">
                  <a16:creationId xmlns:a16="http://schemas.microsoft.com/office/drawing/2014/main" xmlns=""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209550</xdr:colOff>
          <xdr:row>19</xdr:row>
          <xdr:rowOff>123825</xdr:rowOff>
        </xdr:from>
        <xdr:to>
          <xdr:col>12</xdr:col>
          <xdr:colOff>342900</xdr:colOff>
          <xdr:row>22</xdr:row>
          <xdr:rowOff>57150</xdr:rowOff>
        </xdr:to>
        <xdr:sp macro="" textlink="">
          <xdr:nvSpPr>
            <xdr:cNvPr id="5145" name="Button 25" hidden="1">
              <a:extLst>
                <a:ext uri="{63B3BB69-23CF-44E3-9099-C40C66FF867C}">
                  <a14:compatExt spid="_x0000_s5145"/>
                </a:ext>
                <a:ext uri="{FF2B5EF4-FFF2-40B4-BE49-F238E27FC236}">
                  <a16:creationId xmlns:a16="http://schemas.microsoft.com/office/drawing/2014/main" xmlns=""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FF0000"/>
                  </a:solidFill>
                  <a:latin typeface="Adca"/>
                </a:rPr>
                <a:t>CREATE BACKUP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400050</xdr:colOff>
          <xdr:row>19</xdr:row>
          <xdr:rowOff>123825</xdr:rowOff>
        </xdr:from>
        <xdr:to>
          <xdr:col>7</xdr:col>
          <xdr:colOff>457200</xdr:colOff>
          <xdr:row>22</xdr:row>
          <xdr:rowOff>57150</xdr:rowOff>
        </xdr:to>
        <xdr:sp macro="" textlink="">
          <xdr:nvSpPr>
            <xdr:cNvPr id="5146" name="Button 26" hidden="1">
              <a:extLst>
                <a:ext uri="{63B3BB69-23CF-44E3-9099-C40C66FF867C}">
                  <a14:compatExt spid="_x0000_s5146"/>
                </a:ext>
                <a:ext uri="{FF2B5EF4-FFF2-40B4-BE49-F238E27FC236}">
                  <a16:creationId xmlns:a16="http://schemas.microsoft.com/office/drawing/2014/main" xmlns=""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CCFF"/>
                  </a:solidFill>
                  <a:latin typeface="Adca"/>
                </a:rPr>
                <a:t>GENERATE WEEKLY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323850</xdr:colOff>
          <xdr:row>19</xdr:row>
          <xdr:rowOff>123825</xdr:rowOff>
        </xdr:from>
        <xdr:to>
          <xdr:col>19</xdr:col>
          <xdr:colOff>361950</xdr:colOff>
          <xdr:row>22</xdr:row>
          <xdr:rowOff>57150</xdr:rowOff>
        </xdr:to>
        <xdr:sp macro="" textlink="">
          <xdr:nvSpPr>
            <xdr:cNvPr id="5148" name="Button 28" hidden="1">
              <a:extLst>
                <a:ext uri="{63B3BB69-23CF-44E3-9099-C40C66FF867C}">
                  <a14:compatExt spid="_x0000_s5148"/>
                </a:ext>
                <a:ext uri="{FF2B5EF4-FFF2-40B4-BE49-F238E27FC236}">
                  <a16:creationId xmlns:a16="http://schemas.microsoft.com/office/drawing/2014/main" xmlns=""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9900"/>
                  </a:solidFill>
                  <a:latin typeface="Adca"/>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123825</xdr:colOff>
          <xdr:row>19</xdr:row>
          <xdr:rowOff>123825</xdr:rowOff>
        </xdr:from>
        <xdr:to>
          <xdr:col>17</xdr:col>
          <xdr:colOff>152400</xdr:colOff>
          <xdr:row>22</xdr:row>
          <xdr:rowOff>57150</xdr:rowOff>
        </xdr:to>
        <xdr:sp macro="" textlink="">
          <xdr:nvSpPr>
            <xdr:cNvPr id="5149" name="Button 29" hidden="1">
              <a:extLst>
                <a:ext uri="{63B3BB69-23CF-44E3-9099-C40C66FF867C}">
                  <a14:compatExt spid="_x0000_s5149"/>
                </a:ext>
                <a:ext uri="{FF2B5EF4-FFF2-40B4-BE49-F238E27FC236}">
                  <a16:creationId xmlns:a16="http://schemas.microsoft.com/office/drawing/2014/main" xmlns=""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0000"/>
                  </a:solidFill>
                  <a:latin typeface="Adca"/>
                </a:rPr>
                <a:t>RECORD EXPENDITURE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523875</xdr:colOff>
          <xdr:row>19</xdr:row>
          <xdr:rowOff>123825</xdr:rowOff>
        </xdr:from>
        <xdr:to>
          <xdr:col>14</xdr:col>
          <xdr:colOff>571500</xdr:colOff>
          <xdr:row>22</xdr:row>
          <xdr:rowOff>57150</xdr:rowOff>
        </xdr:to>
        <xdr:sp macro="" textlink="">
          <xdr:nvSpPr>
            <xdr:cNvPr id="5150" name="Button 30" hidden="1">
              <a:extLst>
                <a:ext uri="{63B3BB69-23CF-44E3-9099-C40C66FF867C}">
                  <a14:compatExt spid="_x0000_s5150"/>
                </a:ext>
                <a:ext uri="{FF2B5EF4-FFF2-40B4-BE49-F238E27FC236}">
                  <a16:creationId xmlns:a16="http://schemas.microsoft.com/office/drawing/2014/main" xmlns=""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8000"/>
                  </a:solidFill>
                  <a:latin typeface="Adca"/>
                </a:rPr>
                <a:t>RECORD OTHER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19</xdr:row>
          <xdr:rowOff>123825</xdr:rowOff>
        </xdr:from>
        <xdr:to>
          <xdr:col>10</xdr:col>
          <xdr:colOff>47625</xdr:colOff>
          <xdr:row>22</xdr:row>
          <xdr:rowOff>57150</xdr:rowOff>
        </xdr:to>
        <xdr:sp macro="" textlink="">
          <xdr:nvSpPr>
            <xdr:cNvPr id="5151" name="Button 31" hidden="1">
              <a:extLst>
                <a:ext uri="{63B3BB69-23CF-44E3-9099-C40C66FF867C}">
                  <a14:compatExt spid="_x0000_s5151"/>
                </a:ext>
                <a:ext uri="{FF2B5EF4-FFF2-40B4-BE49-F238E27FC236}">
                  <a16:creationId xmlns:a16="http://schemas.microsoft.com/office/drawing/2014/main" xmlns=""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HERITAGE FUND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19</xdr:row>
          <xdr:rowOff>123825</xdr:rowOff>
        </xdr:from>
        <xdr:to>
          <xdr:col>5</xdr:col>
          <xdr:colOff>238125</xdr:colOff>
          <xdr:row>22</xdr:row>
          <xdr:rowOff>57150</xdr:rowOff>
        </xdr:to>
        <xdr:sp macro="" textlink="">
          <xdr:nvSpPr>
            <xdr:cNvPr id="5152" name="Button 32" hidden="1">
              <a:extLst>
                <a:ext uri="{63B3BB69-23CF-44E3-9099-C40C66FF867C}">
                  <a14:compatExt spid="_x0000_s5152"/>
                </a:ext>
                <a:ext uri="{FF2B5EF4-FFF2-40B4-BE49-F238E27FC236}">
                  <a16:creationId xmlns:a16="http://schemas.microsoft.com/office/drawing/2014/main" xmlns=""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HOME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342900</xdr:colOff>
          <xdr:row>9</xdr:row>
          <xdr:rowOff>152400</xdr:rowOff>
        </xdr:from>
        <xdr:to>
          <xdr:col>9</xdr:col>
          <xdr:colOff>123825</xdr:colOff>
          <xdr:row>11</xdr:row>
          <xdr:rowOff>247650</xdr:rowOff>
        </xdr:to>
        <xdr:sp macro="" textlink="">
          <xdr:nvSpPr>
            <xdr:cNvPr id="6147" name="Button 3" hidden="1">
              <a:extLst>
                <a:ext uri="{63B3BB69-23CF-44E3-9099-C40C66FF867C}">
                  <a14:compatExt spid="_x0000_s6147"/>
                </a:ext>
                <a:ext uri="{FF2B5EF4-FFF2-40B4-BE49-F238E27FC236}">
                  <a16:creationId xmlns:a16="http://schemas.microsoft.com/office/drawing/2014/main" xmlns=""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FF0000"/>
                  </a:solidFill>
                  <a:latin typeface="Adca"/>
                </a:rPr>
                <a:t>CREATE BACKUP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609600</xdr:colOff>
          <xdr:row>9</xdr:row>
          <xdr:rowOff>180975</xdr:rowOff>
        </xdr:from>
        <xdr:to>
          <xdr:col>8</xdr:col>
          <xdr:colOff>66675</xdr:colOff>
          <xdr:row>11</xdr:row>
          <xdr:rowOff>247650</xdr:rowOff>
        </xdr:to>
        <xdr:sp macro="" textlink="">
          <xdr:nvSpPr>
            <xdr:cNvPr id="6149" name="Button 5" hidden="1">
              <a:extLst>
                <a:ext uri="{63B3BB69-23CF-44E3-9099-C40C66FF867C}">
                  <a14:compatExt spid="_x0000_s6149"/>
                </a:ext>
                <a:ext uri="{FF2B5EF4-FFF2-40B4-BE49-F238E27FC236}">
                  <a16:creationId xmlns:a16="http://schemas.microsoft.com/office/drawing/2014/main" xmlns=""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ENTER RECEIPT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9</xdr:row>
          <xdr:rowOff>180975</xdr:rowOff>
        </xdr:from>
        <xdr:to>
          <xdr:col>5</xdr:col>
          <xdr:colOff>390525</xdr:colOff>
          <xdr:row>11</xdr:row>
          <xdr:rowOff>247650</xdr:rowOff>
        </xdr:to>
        <xdr:sp macro="" textlink="">
          <xdr:nvSpPr>
            <xdr:cNvPr id="6150" name="Button 6" hidden="1">
              <a:extLst>
                <a:ext uri="{63B3BB69-23CF-44E3-9099-C40C66FF867C}">
                  <a14:compatExt spid="_x0000_s6150"/>
                </a:ext>
                <a:ext uri="{FF2B5EF4-FFF2-40B4-BE49-F238E27FC236}">
                  <a16:creationId xmlns:a16="http://schemas.microsoft.com/office/drawing/2014/main" xmlns=""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9900"/>
                  </a:solidFill>
                  <a:latin typeface="Adca"/>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5</xdr:row>
          <xdr:rowOff>66675</xdr:rowOff>
        </xdr:from>
        <xdr:to>
          <xdr:col>10</xdr:col>
          <xdr:colOff>609600</xdr:colOff>
          <xdr:row>7</xdr:row>
          <xdr:rowOff>152400</xdr:rowOff>
        </xdr:to>
        <xdr:sp macro="" textlink="">
          <xdr:nvSpPr>
            <xdr:cNvPr id="6151" name="Button 7" hidden="1">
              <a:extLst>
                <a:ext uri="{63B3BB69-23CF-44E3-9099-C40C66FF867C}">
                  <a14:compatExt spid="_x0000_s6151"/>
                </a:ext>
                <a:ext uri="{FF2B5EF4-FFF2-40B4-BE49-F238E27FC236}">
                  <a16:creationId xmlns:a16="http://schemas.microsoft.com/office/drawing/2014/main" xmlns="" id="{00000000-0008-0000-05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0000"/>
                  </a:solidFill>
                  <a:latin typeface="Adca"/>
                </a:rPr>
                <a:t>RECORD EXPENDITURE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295275</xdr:colOff>
          <xdr:row>5</xdr:row>
          <xdr:rowOff>66675</xdr:rowOff>
        </xdr:from>
        <xdr:to>
          <xdr:col>8</xdr:col>
          <xdr:colOff>1800225</xdr:colOff>
          <xdr:row>7</xdr:row>
          <xdr:rowOff>152400</xdr:rowOff>
        </xdr:to>
        <xdr:sp macro="" textlink="">
          <xdr:nvSpPr>
            <xdr:cNvPr id="6152" name="Button 8" hidden="1">
              <a:extLst>
                <a:ext uri="{63B3BB69-23CF-44E3-9099-C40C66FF867C}">
                  <a14:compatExt spid="_x0000_s6152"/>
                </a:ext>
                <a:ext uri="{FF2B5EF4-FFF2-40B4-BE49-F238E27FC236}">
                  <a16:creationId xmlns:a16="http://schemas.microsoft.com/office/drawing/2014/main" xmlns="" id="{00000000-0008-0000-0500-00000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8000"/>
                  </a:solidFill>
                  <a:latin typeface="Adca"/>
                </a:rPr>
                <a:t>RECORD OTHER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609600</xdr:colOff>
          <xdr:row>5</xdr:row>
          <xdr:rowOff>66675</xdr:rowOff>
        </xdr:from>
        <xdr:to>
          <xdr:col>8</xdr:col>
          <xdr:colOff>66675</xdr:colOff>
          <xdr:row>7</xdr:row>
          <xdr:rowOff>152400</xdr:rowOff>
        </xdr:to>
        <xdr:sp macro="" textlink="">
          <xdr:nvSpPr>
            <xdr:cNvPr id="6153" name="Button 9" hidden="1">
              <a:extLst>
                <a:ext uri="{63B3BB69-23CF-44E3-9099-C40C66FF867C}">
                  <a14:compatExt spid="_x0000_s6153"/>
                </a:ext>
                <a:ext uri="{FF2B5EF4-FFF2-40B4-BE49-F238E27FC236}">
                  <a16:creationId xmlns:a16="http://schemas.microsoft.com/office/drawing/2014/main" xmlns="" id="{00000000-0008-0000-0500-00000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HERITAGE FUND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5</xdr:row>
          <xdr:rowOff>66675</xdr:rowOff>
        </xdr:from>
        <xdr:to>
          <xdr:col>5</xdr:col>
          <xdr:colOff>381000</xdr:colOff>
          <xdr:row>7</xdr:row>
          <xdr:rowOff>152400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xmlns="" id="{00000000-0008-0000-0500-00000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0</xdr:colOff>
          <xdr:row>7</xdr:row>
          <xdr:rowOff>57150</xdr:rowOff>
        </xdr:from>
        <xdr:to>
          <xdr:col>13</xdr:col>
          <xdr:colOff>400050</xdr:colOff>
          <xdr:row>10</xdr:row>
          <xdr:rowOff>76200</xdr:rowOff>
        </xdr:to>
        <xdr:sp macro="" textlink="">
          <xdr:nvSpPr>
            <xdr:cNvPr id="7178" name="Button 10" hidden="1">
              <a:extLst>
                <a:ext uri="{63B3BB69-23CF-44E3-9099-C40C66FF867C}">
                  <a14:compatExt spid="_x0000_s7178"/>
                </a:ext>
                <a:ext uri="{FF2B5EF4-FFF2-40B4-BE49-F238E27FC236}">
                  <a16:creationId xmlns:a16="http://schemas.microsoft.com/office/drawing/2014/main" xmlns="" id="{00000000-0008-0000-0600-00000A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FF0000"/>
                  </a:solidFill>
                  <a:latin typeface="Adca"/>
                </a:rPr>
                <a:t>CREATE BACKUP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104775</xdr:colOff>
          <xdr:row>7</xdr:row>
          <xdr:rowOff>57150</xdr:rowOff>
        </xdr:from>
        <xdr:to>
          <xdr:col>10</xdr:col>
          <xdr:colOff>361950</xdr:colOff>
          <xdr:row>10</xdr:row>
          <xdr:rowOff>76200</xdr:rowOff>
        </xdr:to>
        <xdr:sp macro="" textlink="">
          <xdr:nvSpPr>
            <xdr:cNvPr id="7179" name="Button 11" hidden="1">
              <a:extLst>
                <a:ext uri="{63B3BB69-23CF-44E3-9099-C40C66FF867C}">
                  <a14:compatExt spid="_x0000_s7179"/>
                </a:ext>
                <a:ext uri="{FF2B5EF4-FFF2-40B4-BE49-F238E27FC236}">
                  <a16:creationId xmlns:a16="http://schemas.microsoft.com/office/drawing/2014/main" xmlns="" id="{00000000-0008-0000-0600-00000B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CCFF"/>
                  </a:solidFill>
                  <a:latin typeface="Adca"/>
                </a:rPr>
                <a:t>GENERATE WEEKLY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7</xdr:row>
          <xdr:rowOff>57150</xdr:rowOff>
        </xdr:from>
        <xdr:to>
          <xdr:col>7</xdr:col>
          <xdr:colOff>466725</xdr:colOff>
          <xdr:row>10</xdr:row>
          <xdr:rowOff>76200</xdr:rowOff>
        </xdr:to>
        <xdr:sp macro="" textlink="">
          <xdr:nvSpPr>
            <xdr:cNvPr id="7180" name="Button 12" hidden="1">
              <a:extLst>
                <a:ext uri="{63B3BB69-23CF-44E3-9099-C40C66FF867C}">
                  <a14:compatExt spid="_x0000_s7180"/>
                </a:ext>
                <a:ext uri="{FF2B5EF4-FFF2-40B4-BE49-F238E27FC236}">
                  <a16:creationId xmlns:a16="http://schemas.microsoft.com/office/drawing/2014/main" xmlns="" id="{00000000-0008-0000-0600-00000C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ENTER RECEIPT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323850</xdr:colOff>
          <xdr:row>7</xdr:row>
          <xdr:rowOff>57150</xdr:rowOff>
        </xdr:from>
        <xdr:to>
          <xdr:col>4</xdr:col>
          <xdr:colOff>561975</xdr:colOff>
          <xdr:row>10</xdr:row>
          <xdr:rowOff>76200</xdr:rowOff>
        </xdr:to>
        <xdr:sp macro="" textlink="">
          <xdr:nvSpPr>
            <xdr:cNvPr id="7181" name="Button 13" hidden="1">
              <a:extLst>
                <a:ext uri="{63B3BB69-23CF-44E3-9099-C40C66FF867C}">
                  <a14:compatExt spid="_x0000_s7181"/>
                </a:ext>
                <a:ext uri="{FF2B5EF4-FFF2-40B4-BE49-F238E27FC236}">
                  <a16:creationId xmlns:a16="http://schemas.microsoft.com/office/drawing/2014/main" xmlns="" id="{00000000-0008-0000-0600-00000D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9900"/>
                  </a:solidFill>
                  <a:latin typeface="Adca"/>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123825</xdr:colOff>
          <xdr:row>0</xdr:row>
          <xdr:rowOff>171450</xdr:rowOff>
        </xdr:from>
        <xdr:to>
          <xdr:col>10</xdr:col>
          <xdr:colOff>409575</xdr:colOff>
          <xdr:row>4</xdr:row>
          <xdr:rowOff>0</xdr:rowOff>
        </xdr:to>
        <xdr:sp macro="" textlink="">
          <xdr:nvSpPr>
            <xdr:cNvPr id="7182" name="Button 14" hidden="1">
              <a:extLst>
                <a:ext uri="{63B3BB69-23CF-44E3-9099-C40C66FF867C}">
                  <a14:compatExt spid="_x0000_s7182"/>
                </a:ext>
                <a:ext uri="{FF2B5EF4-FFF2-40B4-BE49-F238E27FC236}">
                  <a16:creationId xmlns:a16="http://schemas.microsoft.com/office/drawing/2014/main" xmlns="" id="{00000000-0008-0000-0600-00000E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FF0000"/>
                  </a:solidFill>
                  <a:latin typeface="Adca"/>
                </a:rPr>
                <a:t>RECORD EXPENDITURE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171450</xdr:rowOff>
        </xdr:from>
        <xdr:to>
          <xdr:col>7</xdr:col>
          <xdr:colOff>485775</xdr:colOff>
          <xdr:row>4</xdr:row>
          <xdr:rowOff>0</xdr:rowOff>
        </xdr:to>
        <xdr:sp macro="" textlink="">
          <xdr:nvSpPr>
            <xdr:cNvPr id="7183" name="Button 15" hidden="1">
              <a:extLst>
                <a:ext uri="{63B3BB69-23CF-44E3-9099-C40C66FF867C}">
                  <a14:compatExt spid="_x0000_s7183"/>
                </a:ext>
                <a:ext uri="{FF2B5EF4-FFF2-40B4-BE49-F238E27FC236}">
                  <a16:creationId xmlns:a16="http://schemas.microsoft.com/office/drawing/2014/main" xmlns="" id="{00000000-0008-0000-0600-00000F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8000"/>
                  </a:solidFill>
                  <a:latin typeface="Adca"/>
                </a:rPr>
                <a:t>RECORD OTHER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323850</xdr:colOff>
          <xdr:row>0</xdr:row>
          <xdr:rowOff>171450</xdr:rowOff>
        </xdr:from>
        <xdr:to>
          <xdr:col>4</xdr:col>
          <xdr:colOff>561975</xdr:colOff>
          <xdr:row>4</xdr:row>
          <xdr:rowOff>0</xdr:rowOff>
        </xdr:to>
        <xdr:sp macro="" textlink="">
          <xdr:nvSpPr>
            <xdr:cNvPr id="7185" name="Button 17" hidden="1">
              <a:extLst>
                <a:ext uri="{63B3BB69-23CF-44E3-9099-C40C66FF867C}">
                  <a14:compatExt spid="_x0000_s7185"/>
                </a:ext>
                <a:ext uri="{FF2B5EF4-FFF2-40B4-BE49-F238E27FC236}">
                  <a16:creationId xmlns:a16="http://schemas.microsoft.com/office/drawing/2014/main" xmlns="" id="{00000000-0008-0000-0600-00001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Adca"/>
                </a:rPr>
                <a:t>HOME</a:t>
              </a:r>
            </a:p>
          </xdr:txBody>
        </xdr:sp>
        <xdr:clientData fPrintsWithSheet="0"/>
      </xdr:twoCellAnchor>
    </mc:Choice>
    <mc:Fallback/>
  </mc:AlternateContent>
</xdr:wsDr>
</file>

<file path=xl/tables/table1.xml><?xml version="1.0" encoding="utf-8"?>
<table xmlns="http://schemas.openxmlformats.org/spreadsheetml/2006/main" id="1" name="IncomeSummary" displayName="IncomeSummary" ref="A1:K106" totalsRowCount="1" headerRowDxfId="285" dataDxfId="284" totalsRowDxfId="283">
  <autoFilter ref="A1:K105">
    <filterColumn colId="0">
      <filters>
        <dateGroupItem year="2021" month="1" dateTimeGrouping="month"/>
      </filters>
    </filterColumn>
  </autoFilter>
  <tableColumns count="11">
    <tableColumn id="1" name="DATE" totalsRowLabel="Total" dataDxfId="282" totalsRowDxfId="10">
      <calculatedColumnFormula>DATE(YEAR(A1),MONTH(A1),DAY(A1)+7)</calculatedColumnFormula>
    </tableColumn>
    <tableColumn id="2" name="TITHE" totalsRowFunction="sum" dataDxfId="281" totalsRowDxfId="9" dataCellStyle="Comma"/>
    <tableColumn id="3" name="SYSTEMATIC OFFERING" totalsRowFunction="sum" dataDxfId="280" totalsRowDxfId="8" dataCellStyle="Comma"/>
    <tableColumn id="4" name="THANKS OFFERING" totalsRowFunction="sum" dataDxfId="279" totalsRowDxfId="7" dataCellStyle="Comma"/>
    <tableColumn id="5" name="LOOSE OFFERING" totalsRowFunction="sum" dataDxfId="278" totalsRowDxfId="6" dataCellStyle="Comma"/>
    <tableColumn id="6" name="SABBATH SCHOOL OFFERING" totalsRowFunction="sum" dataDxfId="277" totalsRowDxfId="5" dataCellStyle="Comma"/>
    <tableColumn id="7" name="WELFARE" totalsRowFunction="sum" dataDxfId="276" totalsRowDxfId="4" dataCellStyle="Comma"/>
    <tableColumn id="8" name="OTHERS" totalsRowFunction="sum" dataDxfId="275" totalsRowDxfId="3" dataCellStyle="Comma"/>
    <tableColumn id="9" name=" BIBLE SOCIETY HARVEST" totalsRowFunction="sum" dataDxfId="274" totalsRowDxfId="2" dataCellStyle="Comma"/>
    <tableColumn id="10" name="ANNUAL HARVEST" totalsRowFunction="sum" dataDxfId="273" totalsRowDxfId="1" dataCellStyle="Comma"/>
    <tableColumn id="11" name="TOTAL" totalsRowFunction="sum" dataDxfId="272" totalsRowDxfId="0" dataCellStyle="Comma">
      <calculatedColumnFormula>SUM(IncomeSummary[[#This Row],[TITHE]:[ANNUAL HARVEST]])</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 name="WeeklyIncomeSummary" displayName="WeeklyIncomeSummary" ref="A112:S218" totalsRowCount="1" headerRowDxfId="271" dataDxfId="270" totalsRowDxfId="269">
  <autoFilter ref="A112:S217">
    <filterColumn colId="0">
      <filters>
        <dateGroupItem year="2021" month="1" dateTimeGrouping="month"/>
      </filters>
    </filterColumn>
  </autoFilter>
  <tableColumns count="19">
    <tableColumn id="1" name="WEEK" totalsRowLabel="Total" dataDxfId="268" totalsRowDxfId="267">
      <calculatedColumnFormula>DATE(YEAR(A112),MONTH(A112),DAY(A112)+7)</calculatedColumnFormula>
    </tableColumn>
    <tableColumn id="2" name="TOTAL" totalsRowFunction="sum" dataDxfId="266" totalsRowDxfId="265">
      <calculatedColumnFormula>K1</calculatedColumnFormula>
    </tableColumn>
    <tableColumn id="3" name="TITHE" totalsRowFunction="sum" dataDxfId="264" totalsRowDxfId="263">
      <calculatedColumnFormula>B1</calculatedColumnFormula>
    </tableColumn>
    <tableColumn id="4" name="CONF 40%" totalsRowFunction="sum" dataDxfId="262" totalsRowDxfId="261">
      <calculatedColumnFormula>0.4*C1</calculatedColumnFormula>
    </tableColumn>
    <tableColumn id="5" name="DISTRICT 10%" totalsRowFunction="sum" dataDxfId="260" totalsRowDxfId="259">
      <calculatedColumnFormula>0.1*C1</calculatedColumnFormula>
    </tableColumn>
    <tableColumn id="6" name="LOCAL 50%" totalsRowFunction="sum" dataDxfId="258" totalsRowDxfId="257">
      <calculatedColumnFormula>0.5*C1</calculatedColumnFormula>
    </tableColumn>
    <tableColumn id="7" name="CONF 40% " totalsRowFunction="sum" dataDxfId="256" totalsRowDxfId="255">
      <calculatedColumnFormula>0.4*D1</calculatedColumnFormula>
    </tableColumn>
    <tableColumn id="8" name="LOCAL 50% " totalsRowFunction="sum" dataDxfId="254" totalsRowDxfId="253">
      <calculatedColumnFormula>0.5*D1</calculatedColumnFormula>
    </tableColumn>
    <tableColumn id="9" name="DISTRICT 10% " totalsRowFunction="sum" dataDxfId="252" totalsRowDxfId="251">
      <calculatedColumnFormula>0.1*D1</calculatedColumnFormula>
    </tableColumn>
    <tableColumn id="10" name="CONF 40%  " totalsRowFunction="sum" dataDxfId="250" totalsRowDxfId="249">
      <calculatedColumnFormula>0.4*E1</calculatedColumnFormula>
    </tableColumn>
    <tableColumn id="11" name="DISTRICT 10%  " totalsRowFunction="sum" dataDxfId="248" totalsRowDxfId="247">
      <calculatedColumnFormula>0.1*E1</calculatedColumnFormula>
    </tableColumn>
    <tableColumn id="12" name="LOCAL 50%  " totalsRowFunction="sum" dataDxfId="246" totalsRowDxfId="245">
      <calculatedColumnFormula>0.5*E1</calculatedColumnFormula>
    </tableColumn>
    <tableColumn id="13" name="CONF %" totalsRowFunction="sum" dataDxfId="244" totalsRowDxfId="243">
      <calculatedColumnFormula>PRODUCT(I1*(1/3))</calculatedColumnFormula>
    </tableColumn>
    <tableColumn id="14" name="DIST  %" totalsRowFunction="sum" dataDxfId="242" totalsRowDxfId="241">
      <calculatedColumnFormula>PRODUCT(I1*(1/3))</calculatedColumnFormula>
    </tableColumn>
    <tableColumn id="15" name="LOCAL %" totalsRowFunction="sum" dataDxfId="240" totalsRowDxfId="239">
      <calculatedColumnFormula>PRODUCT(I1*(1/3))</calculatedColumnFormula>
    </tableColumn>
    <tableColumn id="16" name="CONF 10%" totalsRowFunction="sum" dataDxfId="238" totalsRowDxfId="237">
      <calculatedColumnFormula>J1*0.1</calculatedColumnFormula>
    </tableColumn>
    <tableColumn id="17" name="DISTRICT 10%   " totalsRowFunction="sum" dataDxfId="236" totalsRowDxfId="235">
      <calculatedColumnFormula>J1*0.1</calculatedColumnFormula>
    </tableColumn>
    <tableColumn id="18" name="LOCAL 80%" totalsRowFunction="sum" dataDxfId="234" totalsRowDxfId="233">
      <calculatedColumnFormula>J1*0.8</calculatedColumnFormula>
    </tableColumn>
    <tableColumn id="19" name="LOCAL FUNDS" totalsRowFunction="sum" dataDxfId="232" totalsRowDxfId="231">
      <calculatedColumnFormula>SUM(F1:H1)</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4" name="WeeklyIncome" displayName="WeeklyIncome" ref="A1:Y106" totalsRowCount="1" headerRowDxfId="230" dataDxfId="229" totalsRowDxfId="228">
  <autoFilter ref="A1:Y105">
    <filterColumn colId="0">
      <filters>
        <dateGroupItem year="2021" month="1" dateTimeGrouping="month"/>
      </filters>
    </filterColumn>
  </autoFilter>
  <tableColumns count="25">
    <tableColumn id="1" name="DATE" totalsRowLabel="Total" dataDxfId="227" totalsRowDxfId="226">
      <calculatedColumnFormula>DATE(YEAR(A1),MONTH(A1),DAY(A1)+7)</calculatedColumnFormula>
    </tableColumn>
    <tableColumn id="2" name="TITHE" totalsRowFunction="sum" dataDxfId="225" totalsRowDxfId="224" dataCellStyle="Comma">
      <calculatedColumnFormula>IncomeSummary[[#This Row],[TITHE]]</calculatedColumnFormula>
    </tableColumn>
    <tableColumn id="3" name="SYSTEMATIC OFFERING" totalsRowFunction="sum" dataDxfId="223" totalsRowDxfId="222" dataCellStyle="Comma">
      <calculatedColumnFormula>IncomeSummary[[#This Row],[SYSTEMATIC OFFERING]]</calculatedColumnFormula>
    </tableColumn>
    <tableColumn id="4" name="THANKS OFFERING" totalsRowFunction="sum" dataDxfId="221" totalsRowDxfId="220" dataCellStyle="Comma">
      <calculatedColumnFormula>IncomeSummary[[#This Row],[THANKS OFFERING]]</calculatedColumnFormula>
    </tableColumn>
    <tableColumn id="5" name="LOOSE OFFERING" totalsRowFunction="sum" dataDxfId="219" totalsRowDxfId="218" dataCellStyle="Comma">
      <calculatedColumnFormula>IncomeSummary[[#This Row],[LOOSE OFFERING]]</calculatedColumnFormula>
    </tableColumn>
    <tableColumn id="6" name="EXPENSES OFFERING" totalsRowFunction="sum" dataDxfId="217" totalsRowDxfId="216" dataCellStyle="Comma">
      <calculatedColumnFormula>IncomeSummary[[#This Row],[SABBATH SCHOOL OFFERING]]</calculatedColumnFormula>
    </tableColumn>
    <tableColumn id="7" name="WELFARE DUES" totalsRowFunction="sum" dataDxfId="215" totalsRowDxfId="214" dataCellStyle="Comma">
      <calculatedColumnFormula>IncomeSummary[[#This Row],[WELFARE]]</calculatedColumnFormula>
    </tableColumn>
    <tableColumn id="8" name="HARVEST" totalsRowFunction="sum" dataDxfId="213" totalsRowDxfId="212" dataCellStyle="Comma"/>
    <tableColumn id="9" name="SELLING OF TREES" totalsRowFunction="sum" dataDxfId="211" totalsRowDxfId="210" dataCellStyle="Comma"/>
    <tableColumn id="21" name="NURSERY" totalsRowFunction="sum" dataDxfId="209" totalsRowDxfId="208" dataCellStyle="Comma"/>
    <tableColumn id="10" name="BIBLE SOCIETY HARVEST" totalsRowFunction="sum" dataDxfId="207" totalsRowDxfId="206" dataCellStyle="Comma">
      <calculatedColumnFormula>IncomeSummary[[#This Row],[ BIBLE SOCIETY HARVEST]]</calculatedColumnFormula>
    </tableColumn>
    <tableColumn id="11" name="DONATIONS" totalsRowFunction="sum" dataDxfId="205" totalsRowDxfId="204" dataCellStyle="Comma"/>
    <tableColumn id="12" name="FUND RAISING / SPECIAL HARVEST" totalsRowFunction="sum" dataDxfId="203" totalsRowDxfId="202" dataCellStyle="Comma"/>
    <tableColumn id="23" name="CARE FOR THE AGED FUND" totalsRowFunction="sum" dataDxfId="201" totalsRowDxfId="200" dataCellStyle="Comma"/>
    <tableColumn id="13" name="ZONAL CONTRIBUTION" totalsRowFunction="sum" dataDxfId="199" totalsRowDxfId="198" dataCellStyle="Comma"/>
    <tableColumn id="14" name="WOMEN MINISTRY HARVEST" totalsRowFunction="sum" dataDxfId="197" totalsRowDxfId="196" dataCellStyle="Comma"/>
    <tableColumn id="20" name="CHOIR" totalsRowFunction="sum" dataDxfId="195" totalsRowDxfId="194" dataCellStyle="Comma"/>
    <tableColumn id="24" name="SINGING BAND" totalsRowFunction="sum" dataDxfId="193" totalsRowDxfId="192" dataCellStyle="Comma"/>
    <tableColumn id="17" name="LORD'S SUPPER" totalsRowFunction="sum" dataDxfId="191" totalsRowDxfId="190" dataCellStyle="Comma"/>
    <tableColumn id="19" name="AMM HARVEST" totalsRowFunction="sum" dataDxfId="189" totalsRowDxfId="188" dataCellStyle="Comma"/>
    <tableColumn id="15" name="ANNUAL HARVEST" totalsRowFunction="sum" dataDxfId="187" totalsRowDxfId="186" dataCellStyle="Comma">
      <calculatedColumnFormula>IncomeSummary[[#This Row],[ANNUAL HARVEST]]</calculatedColumnFormula>
    </tableColumn>
    <tableColumn id="25" name="CAMP MEETING" totalsRowFunction="sum" dataDxfId="185" totalsRowDxfId="184" dataCellStyle="Comma"/>
    <tableColumn id="22" name="HOME COMING" totalsRowFunction="sum" dataDxfId="183" totalsRowDxfId="182" dataCellStyle="Comma"/>
    <tableColumn id="18" name="RENT" totalsRowFunction="sum" dataDxfId="181" totalsRowDxfId="180" dataCellStyle="Comma"/>
    <tableColumn id="16" name="TOTAL" totalsRowFunction="sum" dataDxfId="179" totalsRowDxfId="178" dataCellStyle="Comma">
      <calculatedColumnFormula>SUM(WeeklyIncome[[#This Row],[TITHE]:[RENT]])</calculatedColumnFormula>
    </tableColumn>
  </tableColumns>
  <tableStyleInfo name="TableStyleLight1" showFirstColumn="0" showLastColumn="0" showRowStripes="1" showColumnStripes="0"/>
</table>
</file>

<file path=xl/tables/table4.xml><?xml version="1.0" encoding="utf-8"?>
<table xmlns="http://schemas.openxmlformats.org/spreadsheetml/2006/main" id="5" name="WeeklyExpenditure" displayName="WeeklyExpenditure" ref="A1:AK106" totalsRowCount="1" headerRowDxfId="177" dataDxfId="176" headerRowCellStyle="Normal 2" dataCellStyle="Comma 2">
  <autoFilter ref="A1:AK105">
    <filterColumn colId="0">
      <filters>
        <dateGroupItem year="2021" month="1" dateTimeGrouping="month"/>
      </filters>
    </filterColumn>
  </autoFilter>
  <tableColumns count="37">
    <tableColumn id="1" name="DATE" totalsRowLabel="Total" dataDxfId="175" totalsRowDxfId="174" dataCellStyle="Normal 2"/>
    <tableColumn id="2" name="FOOD, WATER AND DRINKS" totalsRowFunction="sum" dataDxfId="173" totalsRowDxfId="172" dataCellStyle="Comma"/>
    <tableColumn id="36" name="BANK CHARGES" totalsRowFunction="sum" dataDxfId="171" totalsRowDxfId="170" dataCellStyle="Comma"/>
    <tableColumn id="3" name="COVID 19  ITEMS" totalsRowFunction="sum" dataDxfId="169" totalsRowDxfId="168" dataCellStyle="Comma"/>
    <tableColumn id="4" name="TRANSPORTATION" totalsRowFunction="sum" dataDxfId="167" totalsRowDxfId="166" dataCellStyle="Comma"/>
    <tableColumn id="5" name="DONATION" totalsRowFunction="sum" dataDxfId="165" totalsRowDxfId="164" dataCellStyle="Comma"/>
    <tableColumn id="6" name="PRINTING &amp; BOOKS" totalsRowFunction="sum" dataDxfId="163" totalsRowDxfId="162" dataCellStyle="Comma"/>
    <tableColumn id="7" name="NURSERY" totalsRowFunction="sum" dataDxfId="161" totalsRowDxfId="160" dataCellStyle="Comma"/>
    <tableColumn id="8" name="SABBATH SCHOOL" totalsRowFunction="sum" dataDxfId="159" totalsRowDxfId="158" dataCellStyle="Comma"/>
    <tableColumn id="9" name="RENOVATION TEACHERS BUNGALOW" totalsRowFunction="sum" dataDxfId="157" totalsRowDxfId="156" dataCellStyle="Comma"/>
    <tableColumn id="10" name="MECHANISED WATER PROJECT" totalsRowFunction="sum" dataDxfId="155" totalsRowDxfId="154" dataCellStyle="Comma"/>
    <tableColumn id="11" name="WAGES (NURSERY)" totalsRowFunction="sum" dataDxfId="153" totalsRowDxfId="152" dataCellStyle="Comma"/>
    <tableColumn id="12" name="BEAUTIFICATION OF CHURCH &amp; SCHOOL COMPOUND" totalsRowFunction="sum" dataDxfId="151" totalsRowDxfId="150" dataCellStyle="Comma"/>
    <tableColumn id="13" name="AYS (T&amp;T, Others)" totalsRowFunction="sum" dataDxfId="149" totalsRowDxfId="148" dataCellStyle="Comma"/>
    <tableColumn id="14" name="CHOIR (T&amp;T, Others" totalsRowFunction="sum" dataDxfId="147" totalsRowDxfId="146" dataCellStyle="Comma"/>
    <tableColumn id="15" name="SINGING BAND (T&amp;T, Others)" totalsRowFunction="sum" dataDxfId="145" totalsRowDxfId="144" dataCellStyle="Comma"/>
    <tableColumn id="16" name="AMM (T&amp;T, Others)" totalsRowFunction="sum" dataDxfId="143" totalsRowDxfId="142" dataCellStyle="Comma"/>
    <tableColumn id="17" name="WOMEN MINSTRY (T&amp;T, Others" totalsRowFunction="sum" dataDxfId="141" totalsRowDxfId="140" dataCellStyle="Comma"/>
    <tableColumn id="18" name="WELFARE FUNERAL DONATIONS" totalsRowFunction="sum" dataDxfId="139" totalsRowDxfId="138" dataCellStyle="Comma"/>
    <tableColumn id="19" name="WELFARE OTHER DONATIONS (MARRIAGE, ETC)" totalsRowFunction="sum" dataDxfId="137" totalsRowDxfId="136" dataCellStyle="Comma"/>
    <tableColumn id="32" name="PROJECTOR" totalsRowFunction="sum" dataDxfId="135" totalsRowDxfId="134" dataCellStyle="Comma"/>
    <tableColumn id="20" name="MAITENANCE / REPAIRS" totalsRowFunction="sum" dataDxfId="133" totalsRowDxfId="132" dataCellStyle="Comma"/>
    <tableColumn id="21" name="LORD'S SUPPER" totalsRowFunction="sum" dataDxfId="131" totalsRowDxfId="130" dataCellStyle="Comma"/>
    <tableColumn id="22" name="LOAN (REPAYMENT" totalsRowFunction="sum" dataDxfId="129" totalsRowDxfId="128" dataCellStyle="Comma"/>
    <tableColumn id="23" name="HARVEST EXPENDITURE" totalsRowFunction="sum" dataDxfId="127" totalsRowDxfId="126" dataCellStyle="Comma"/>
    <tableColumn id="24" name="ELECTRICITY" totalsRowFunction="sum" dataDxfId="125" totalsRowDxfId="124" dataCellStyle="Comma"/>
    <tableColumn id="29" name="CONFERENCE FUND" totalsRowFunction="sum" dataDxfId="123" totalsRowDxfId="122" dataCellStyle="Comma"/>
    <tableColumn id="28" name="DISTRICT FUND" totalsRowFunction="sum" dataDxfId="121" totalsRowDxfId="120" dataCellStyle="Comma"/>
    <tableColumn id="30" name="WASHROOM PROJECT" totalsRowFunction="sum" dataDxfId="119" totalsRowDxfId="118" dataCellStyle="Comma"/>
    <tableColumn id="31" name="CARE FOR THE AGED &amp; SICK" totalsRowFunction="sum" dataDxfId="117" totalsRowDxfId="116" dataCellStyle="Comma"/>
    <tableColumn id="34" name="HOME COMING" totalsRowFunction="sum" dataDxfId="115" totalsRowDxfId="114" dataCellStyle="Comma"/>
    <tableColumn id="33" name="CAMP MEETING" totalsRowFunction="sum" dataDxfId="113" totalsRowDxfId="112" dataCellStyle="Comma"/>
    <tableColumn id="35" name="TRADITIONAL DAY" totalsRowFunction="sum" dataDxfId="111" totalsRowDxfId="110" dataCellStyle="Comma"/>
    <tableColumn id="37" name="ANNUAL THANKSGIVING/HARVEST" totalsRowFunction="sum" dataDxfId="109" totalsRowDxfId="108" dataCellStyle="Comma"/>
    <tableColumn id="25" name="POST  OFFICE" totalsRowFunction="sum" dataDxfId="107" totalsRowDxfId="106" dataCellStyle="Comma"/>
    <tableColumn id="26" name="MISCELLANEOUS (Soap, Washing Powder, Others)" totalsRowFunction="sum" dataDxfId="105" totalsRowDxfId="104" dataCellStyle="Comma"/>
    <tableColumn id="27" name="TOTAL" totalsRowFunction="sum" dataDxfId="103" totalsRowDxfId="102" dataCellStyle="Comma">
      <calculatedColumnFormula>SUM(WeeklyExpenditure[[#This Row],[FOOD, WATER AND DRINKS]:[MISCELLANEOUS (Soap, Washing Powder, Others)]])</calculatedColumnFormula>
    </tableColumn>
  </tableColumns>
  <tableStyleInfo name="TableStyleLight1" showFirstColumn="0" showLastColumn="0" showRowStripes="1" showColumnStripes="0"/>
</table>
</file>

<file path=xl/tables/table5.xml><?xml version="1.0" encoding="utf-8"?>
<table xmlns="http://schemas.openxmlformats.org/spreadsheetml/2006/main" id="12" name="Table913" displayName="Table913" ref="A129:D134" totalsRowShown="0" headerRowDxfId="99" dataDxfId="98">
  <tableColumns count="4">
    <tableColumn id="1" name="  " dataDxfId="97"/>
    <tableColumn id="2" name="CONFERENCE" dataDxfId="96"/>
    <tableColumn id="3" name="DISTRICT" dataDxfId="95"/>
    <tableColumn id="4" name="LOCAL" dataDxfId="94"/>
  </tableColumns>
  <tableStyleInfo name="TableStyleMedium2" showFirstColumn="0" showLastColumn="0" showRowStripes="1" showColumnStripes="0"/>
</table>
</file>

<file path=xl/tables/table6.xml><?xml version="1.0" encoding="utf-8"?>
<table xmlns="http://schemas.openxmlformats.org/spreadsheetml/2006/main" id="8" name="Income_Expenditure" displayName="Income_Expenditure" ref="A4:D84" totalsRowShown="0" headerRowDxfId="93" dataDxfId="91" headerRowBorderDxfId="92" tableBorderDxfId="90" totalsRowBorderDxfId="89" headerRowCellStyle="Normal 2">
  <autoFilter ref="A4:D84"/>
  <tableColumns count="4">
    <tableColumn id="1" name=" " dataDxfId="88" dataCellStyle="Normal 2"/>
    <tableColumn id="2" name="GH¢" dataDxfId="87" dataCellStyle="Comma 2"/>
    <tableColumn id="3" name="GH¢ " dataDxfId="86" dataCellStyle="Comma"/>
    <tableColumn id="4" name="GH¢  " dataDxfId="85" dataCellStyle="Comma"/>
  </tableColumns>
  <tableStyleInfo name="TableStyleMedium2" showFirstColumn="0" showLastColumn="0" showRowStripes="1" showColumnStripes="0"/>
</table>
</file>

<file path=xl/tables/table7.xml><?xml version="1.0" encoding="utf-8"?>
<table xmlns="http://schemas.openxmlformats.org/spreadsheetml/2006/main" id="13" name="Table13" displayName="Table13" ref="A86:D126" totalsRowShown="0" headerRowDxfId="84" dataDxfId="82" headerRowBorderDxfId="83" tableBorderDxfId="81" totalsRowBorderDxfId="80">
  <autoFilter ref="A86:D126"/>
  <tableColumns count="4">
    <tableColumn id="1" name="    " dataDxfId="79" dataCellStyle="Normal 2"/>
    <tableColumn id="2" name="GH¢" dataDxfId="78" dataCellStyle="Comma 2"/>
    <tableColumn id="3" name="GH¢ " dataDxfId="77" dataCellStyle="Comma 2"/>
    <tableColumn id="4" name="GH¢  " dataDxfId="76"/>
  </tableColumns>
  <tableStyleInfo name="TableStyleMedium2" showFirstColumn="0" showLastColumn="0" showRowStripes="1" showColumnStripes="0"/>
</table>
</file>

<file path=xl/tables/table8.xml><?xml version="1.0" encoding="utf-8"?>
<table xmlns="http://schemas.openxmlformats.org/spreadsheetml/2006/main" id="3" name="ReceiptNumbers" displayName="ReceiptNumbers" ref="A1:C89" totalsRowShown="0">
  <autoFilter ref="A1:C89">
    <filterColumn colId="0">
      <filters>
        <dateGroupItem year="2025" dateTimeGrouping="year"/>
        <dateGroupItem year="2024" dateTimeGrouping="year"/>
        <dateGroupItem year="2023" dateTimeGrouping="year"/>
      </filters>
    </filterColumn>
  </autoFilter>
  <tableColumns count="3">
    <tableColumn id="1" name="DATE" dataDxfId="75"/>
    <tableColumn id="2" name="FROM"/>
    <tableColumn id="3" name="TO"/>
  </tableColumns>
  <tableStyleInfo name="TableStyleLight8" showFirstColumn="0" showLastColumn="0" showRowStripes="1" showColumnStripes="0"/>
</table>
</file>

<file path=xl/tables/table9.xml><?xml version="1.0" encoding="utf-8"?>
<table xmlns="http://schemas.openxmlformats.org/spreadsheetml/2006/main" id="14" name="Table91315" displayName="Table91315" ref="A121:D126" totalsRowShown="0" headerRowDxfId="72" dataDxfId="71">
  <tableColumns count="4">
    <tableColumn id="1" name="  " dataDxfId="70"/>
    <tableColumn id="2" name="CONFERENCE" dataDxfId="69"/>
    <tableColumn id="3" name="DISTRICT" dataDxfId="68"/>
    <tableColumn id="4" name="LOCAL" dataDxfId="67"/>
  </tableColumns>
  <tableStyleInfo name="TableStyleMedium2" showFirstColumn="0" showLastColumn="0" showRowStripes="1" showColumnStripes="0"/>
</table>
</file>

<file path=xl/tables/table10.xml><?xml version="1.0" encoding="utf-8"?>
<table xmlns="http://schemas.openxmlformats.org/spreadsheetml/2006/main" id="15" name="WeeklyReport" displayName="WeeklyReport" ref="A5:D76" totalsRowShown="0" headerRowDxfId="66" dataDxfId="64" headerRowBorderDxfId="65" tableBorderDxfId="63" totalsRowBorderDxfId="62" headerRowCellStyle="Normal 2">
  <autoFilter ref="A5:D76"/>
  <tableColumns count="4">
    <tableColumn id="1" name=" " dataDxfId="61" dataCellStyle="Normal 2"/>
    <tableColumn id="2" name="GH¢" dataDxfId="60" dataCellStyle="Comma 2"/>
    <tableColumn id="3" name="GH¢ " dataDxfId="59" dataCellStyle="Comma"/>
    <tableColumn id="4" name="GH¢  " dataDxfId="58" dataCellStyle="Comma"/>
  </tableColumns>
  <tableStyleInfo name="TableStyleMedium2" showFirstColumn="0" showLastColumn="0" showRowStripes="1" showColumnStripes="0"/>
</table>
</file>

<file path=xl/tables/table11.xml><?xml version="1.0" encoding="utf-8"?>
<table xmlns="http://schemas.openxmlformats.org/spreadsheetml/2006/main" id="16" name="Table1317" displayName="Table1317" ref="A78:D118" totalsRowShown="0" headerRowDxfId="57" dataDxfId="55" headerRowBorderDxfId="56" tableBorderDxfId="54" totalsRowBorderDxfId="53">
  <autoFilter ref="A78:D118">
    <filterColumn colId="2">
      <filters blank="1">
        <filter val="1,100.00"/>
        <filter val="11,380.00"/>
        <filter val="161.00"/>
        <filter val="17,949.99"/>
        <filter val="175.00"/>
        <filter val="2,000.00"/>
        <filter val="2,058.00"/>
        <filter val="2,257.00"/>
        <filter val="2,380.00"/>
        <filter val="2,674.50"/>
        <filter val="22,350.00"/>
        <filter val="23,316.00"/>
        <filter val="330.00"/>
        <filter val="351.00"/>
        <filter val="4,140.00"/>
        <filter val="4,479.00"/>
        <filter val="4,807.00"/>
        <filter val="4,987.00"/>
        <filter val="5,107.00"/>
        <filter val="6,625.00"/>
        <filter val="6,740.00"/>
        <filter val="600.00"/>
        <filter val="690.00"/>
        <filter val="7,656.00"/>
        <filter val="780.00"/>
        <filter val="8,433.00"/>
        <filter val="928.00"/>
      </filters>
    </filterColumn>
  </autoFilter>
  <tableColumns count="4">
    <tableColumn id="1" name="    " dataDxfId="52" dataCellStyle="Normal 2"/>
    <tableColumn id="2" name="GH¢" dataDxfId="51" dataCellStyle="Comma 2"/>
    <tableColumn id="3" name="GH¢ " dataDxfId="50" dataCellStyle="Comma 2"/>
    <tableColumn id="4" name="GH¢  " dataDxfId="49"/>
  </tableColumns>
  <tableStyleInfo name="TableStyleMedium2" showFirstColumn="0" showLastColumn="0" showRowStripes="1" showColumnStripes="0"/>
</table>
</file>

<file path=xl/tables/table12.xml><?xml version="1.0" encoding="utf-8"?>
<table xmlns="http://schemas.openxmlformats.org/spreadsheetml/2006/main" id="10" name="HerritageFunds" displayName="HerritageFunds" ref="A1:B12" totalsRowCount="1">
  <autoFilter ref="A1:B11"/>
  <tableColumns count="2">
    <tableColumn id="1" name="DATE" totalsRowLabel="Total"/>
    <tableColumn id="2" name="AMOUNT" totalsRowFunction="sum" dataDxfId="48" totalsRowDxfId="47" dataCellStyle="Comma"/>
  </tableColumns>
  <tableStyleInfo name="TableStyleLight8" showFirstColumn="0" showLastColumn="0" showRowStripes="1" showColumnStripes="0"/>
</table>
</file>

<file path=xl/tables/table13.xml><?xml version="1.0" encoding="utf-8"?>
<table xmlns="http://schemas.openxmlformats.org/spreadsheetml/2006/main" id="6" name="Table6" displayName="Table6" ref="A6:D110" totalsRowShown="0" headerRowDxfId="44" headerRowBorderDxfId="43" tableBorderDxfId="42" totalsRowBorderDxfId="41" headerRowCellStyle="Normal 2">
  <autoFilter ref="A6:D110"/>
  <tableColumns count="4">
    <tableColumn id="1" name=" " dataDxfId="40" dataCellStyle="Normal 2"/>
    <tableColumn id="2" name="GH¢" dataDxfId="39" dataCellStyle="Comma 2"/>
    <tableColumn id="3" name="GH¢ " dataDxfId="38" dataCellStyle="Comma 2"/>
    <tableColumn id="4" name="GH¢  " dataDxfId="37" dataCellStyle="Normal 2"/>
  </tableColumns>
  <tableStyleInfo name="TableStyleLight1" showFirstColumn="0" showLastColumn="0" showRowStripes="1" showColumnStripes="0"/>
</table>
</file>

<file path=xl/tables/table14.xml><?xml version="1.0" encoding="utf-8"?>
<table xmlns="http://schemas.openxmlformats.org/spreadsheetml/2006/main" id="9" name="Table9" displayName="Table9" ref="A113:D118" totalsRowShown="0" headerRowDxfId="36">
  <tableColumns count="4">
    <tableColumn id="1" name="  " dataDxfId="35"/>
    <tableColumn id="2" name="CONFERENCE" dataDxfId="34"/>
    <tableColumn id="3" name="DISTRICT" dataDxfId="33"/>
    <tableColumn id="4" name="LOCAL" dataDxfId="32"/>
  </tableColumns>
  <tableStyleInfo name="TableStyleMedium2" showFirstColumn="0" showLastColumn="0" showRowStripes="1" showColumnStripes="0"/>
</table>
</file>

<file path=xl/tables/table15.xml><?xml version="1.0" encoding="utf-8"?>
<table xmlns="http://schemas.openxmlformats.org/spreadsheetml/2006/main" id="7" name="Table7" displayName="Table7" ref="A4:D85" totalsRowShown="0" headerRowDxfId="29" headerRowBorderDxfId="28" tableBorderDxfId="27" totalsRowBorderDxfId="26" headerRowCellStyle="Normal 2">
  <autoFilter ref="A4:D85"/>
  <tableColumns count="4">
    <tableColumn id="1" name=" " dataDxfId="25" dataCellStyle="Normal 2"/>
    <tableColumn id="2" name="GH¢" dataDxfId="24" dataCellStyle="Comma 2"/>
    <tableColumn id="3" name="GH¢ " dataDxfId="23" dataCellStyle="Comma 2"/>
    <tableColumn id="4" name="GH¢  " dataDxfId="22" dataCellStyle="Normal 2"/>
  </tableColumns>
  <tableStyleInfo name="TableStyleLight6" showFirstColumn="0" showLastColumn="0" showRowStripes="1" showColumnStripes="0"/>
</table>
</file>

<file path=xl/tables/table16.xml><?xml version="1.0" encoding="utf-8"?>
<table xmlns="http://schemas.openxmlformats.org/spreadsheetml/2006/main" id="11" name="Table712" displayName="Table712" ref="A4:D83" totalsRowShown="0" headerRowDxfId="19" dataDxfId="17" headerRowBorderDxfId="18" tableBorderDxfId="16" totalsRowBorderDxfId="15" headerRowCellStyle="Normal 2">
  <autoFilter ref="A4:D83">
    <filterColumn colId="1">
      <filters blank="1">
        <filter val="1,232.60"/>
        <filter val="104.10"/>
        <filter val="213.20"/>
        <filter val="3,670.00"/>
        <filter val="308.15"/>
        <filter val="4,688.00"/>
        <filter val="400.00"/>
        <filter val="416.40"/>
        <filter val="53.30"/>
        <filter val="770.00"/>
      </filters>
    </filterColumn>
    <filterColumn colId="2">
      <filters blank="1">
        <filter val="1,240.00"/>
        <filter val="1,700.00"/>
        <filter val="100.00"/>
        <filter val="11,415.00"/>
        <filter val="150.00"/>
        <filter val="170.00"/>
        <filter val="2,100.00"/>
        <filter val="2,467.00"/>
        <filter val="200.00"/>
        <filter val="3,425.00"/>
        <filter val="4,440.00"/>
        <filter val="465.55"/>
        <filter val="5,400.00"/>
        <filter val="520.00"/>
        <filter val="6,401.93"/>
        <filter val="6,950.20"/>
        <filter val="860.00"/>
      </filters>
    </filterColumn>
    <filterColumn colId="3">
      <filters blank="1">
        <filter val="1,041.00"/>
        <filter val="1.34"/>
        <filter val="10,399.32"/>
        <filter val="15,226.93"/>
        <filter val="2,000.00"/>
        <filter val="2,827.30"/>
        <filter val="3,081.50"/>
        <filter val="3,550.00"/>
        <filter val="317.00"/>
        <filter val="32,947.75"/>
        <filter val="4,170.00"/>
        <filter val="4,611.00"/>
        <filter val="4,688.00"/>
        <filter val="43,347.07"/>
        <filter val="533.00"/>
        <filter val="600.00"/>
        <filter val="630.00"/>
        <filter val="70.00"/>
      </filters>
    </filterColumn>
  </autoFilter>
  <tableColumns count="4">
    <tableColumn id="1" name=" " dataDxfId="14" dataCellStyle="Normal 2"/>
    <tableColumn id="2" name="GH¢" dataDxfId="13" dataCellStyle="Comma 2"/>
    <tableColumn id="3" name="GH¢ " dataDxfId="12" dataCellStyle="Comma 2"/>
    <tableColumn id="4" name="GH¢  " dataDxfId="11" dataCellStyle="Normal 2"/>
  </tableColumns>
  <tableStyleInfo name="TableStyleLight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11" Type="http://schemas.openxmlformats.org/officeDocument/2006/relationships/table" Target="../tables/table3.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3.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11" Type="http://schemas.openxmlformats.org/officeDocument/2006/relationships/table" Target="../tables/table4.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7.xml"/><Relationship Id="rId3" Type="http://schemas.openxmlformats.org/officeDocument/2006/relationships/vmlDrawing" Target="../drawings/vmlDrawing4.vml"/><Relationship Id="rId7" Type="http://schemas.openxmlformats.org/officeDocument/2006/relationships/ctrlProp" Target="../ctrlProps/ctrlProp25.xml"/><Relationship Id="rId12"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4.xml"/><Relationship Id="rId11" Type="http://schemas.openxmlformats.org/officeDocument/2006/relationships/table" Target="../tables/table5.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5.vml"/><Relationship Id="rId7" Type="http://schemas.openxmlformats.org/officeDocument/2006/relationships/ctrlProp" Target="../ctrlProps/ctrlProp3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11" Type="http://schemas.openxmlformats.org/officeDocument/2006/relationships/table" Target="../tables/table8.xml"/><Relationship Id="rId5" Type="http://schemas.openxmlformats.org/officeDocument/2006/relationships/ctrlProp" Target="../ctrlProps/ctrlProp3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table" Target="../tables/table11.xml"/><Relationship Id="rId3" Type="http://schemas.openxmlformats.org/officeDocument/2006/relationships/vmlDrawing" Target="../drawings/vmlDrawing6.vml"/><Relationship Id="rId7" Type="http://schemas.openxmlformats.org/officeDocument/2006/relationships/ctrlProp" Target="../ctrlProps/ctrlProp39.xml"/><Relationship Id="rId12"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38.xml"/><Relationship Id="rId11" Type="http://schemas.openxmlformats.org/officeDocument/2006/relationships/table" Target="../tables/table9.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vmlDrawing" Target="../drawings/vmlDrawing7.vml"/><Relationship Id="rId7" Type="http://schemas.openxmlformats.org/officeDocument/2006/relationships/ctrlProp" Target="../ctrlProps/ctrlProp46.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5.xml"/><Relationship Id="rId11" Type="http://schemas.openxmlformats.org/officeDocument/2006/relationships/table" Target="../tables/table12.xml"/><Relationship Id="rId5" Type="http://schemas.openxmlformats.org/officeDocument/2006/relationships/ctrlProp" Target="../ctrlProps/ctrlProp44.xml"/><Relationship Id="rId10" Type="http://schemas.openxmlformats.org/officeDocument/2006/relationships/ctrlProp" Target="../ctrlProps/ctrlProp49.xml"/><Relationship Id="rId4" Type="http://schemas.openxmlformats.org/officeDocument/2006/relationships/ctrlProp" Target="../ctrlProps/ctrlProp43.xml"/><Relationship Id="rId9"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228"/>
  <sheetViews>
    <sheetView showGridLines="0" showRowColHeaders="0" tabSelected="1" topLeftCell="A2" zoomScale="85" zoomScaleNormal="85" workbookViewId="0">
      <selection activeCell="C108" sqref="C108"/>
    </sheetView>
  </sheetViews>
  <sheetFormatPr defaultRowHeight="15" x14ac:dyDescent="0.25"/>
  <cols>
    <col min="1" max="1" width="19.42578125" bestFit="1" customWidth="1"/>
    <col min="2" max="2" width="12.140625" customWidth="1"/>
    <col min="3" max="3" width="25.5703125" bestFit="1" customWidth="1"/>
    <col min="4" max="4" width="21.5703125" bestFit="1" customWidth="1"/>
    <col min="5" max="5" width="20.28515625" bestFit="1" customWidth="1"/>
    <col min="6" max="6" width="30.5703125" bestFit="1" customWidth="1"/>
    <col min="7" max="7" width="16.28515625" bestFit="1" customWidth="1"/>
    <col min="8" max="8" width="16.7109375" customWidth="1"/>
    <col min="9" max="9" width="25.7109375" bestFit="1" customWidth="1"/>
    <col min="10" max="10" width="21.140625" bestFit="1" customWidth="1"/>
    <col min="11" max="11" width="19.28515625" bestFit="1" customWidth="1"/>
    <col min="12" max="12" width="16.7109375" bestFit="1" customWidth="1"/>
    <col min="13" max="13" width="13.28515625" bestFit="1" customWidth="1"/>
    <col min="14" max="14" width="12.85546875" bestFit="1" customWidth="1"/>
    <col min="15" max="15" width="13.7109375" bestFit="1" customWidth="1"/>
    <col min="16" max="16" width="12.5703125" bestFit="1" customWidth="1"/>
    <col min="17" max="17" width="17.140625" bestFit="1" customWidth="1"/>
    <col min="18" max="18" width="12.42578125" customWidth="1"/>
    <col min="19" max="19" width="15" customWidth="1"/>
  </cols>
  <sheetData>
    <row r="1" spans="1:11" x14ac:dyDescent="0.25">
      <c r="A1" s="166" t="s">
        <v>21</v>
      </c>
      <c r="B1" s="167" t="s">
        <v>0</v>
      </c>
      <c r="C1" s="168" t="s">
        <v>1</v>
      </c>
      <c r="D1" s="169" t="s">
        <v>2</v>
      </c>
      <c r="E1" s="170" t="s">
        <v>3</v>
      </c>
      <c r="F1" s="167" t="s">
        <v>134</v>
      </c>
      <c r="G1" s="171" t="s">
        <v>4</v>
      </c>
      <c r="H1" s="171" t="s">
        <v>5</v>
      </c>
      <c r="I1" s="172" t="s">
        <v>172</v>
      </c>
      <c r="J1" s="173" t="s">
        <v>6</v>
      </c>
      <c r="K1" s="154" t="s">
        <v>7</v>
      </c>
    </row>
    <row r="2" spans="1:11" ht="15" customHeight="1" x14ac:dyDescent="0.25">
      <c r="A2" s="166">
        <v>44205</v>
      </c>
      <c r="B2" s="167">
        <v>225</v>
      </c>
      <c r="C2" s="168">
        <v>144</v>
      </c>
      <c r="D2" s="169">
        <v>35</v>
      </c>
      <c r="E2" s="170">
        <v>40.5</v>
      </c>
      <c r="F2" s="167">
        <v>118.8</v>
      </c>
      <c r="G2" s="171">
        <v>186</v>
      </c>
      <c r="H2" s="171">
        <v>400</v>
      </c>
      <c r="I2" s="172">
        <v>0</v>
      </c>
      <c r="J2" s="173">
        <v>0</v>
      </c>
      <c r="K2" s="154">
        <f>SUM(IncomeSummary[[#This Row],[TITHE]:[ANNUAL HARVEST]])</f>
        <v>1149.3</v>
      </c>
    </row>
    <row r="3" spans="1:11" ht="15" customHeight="1" x14ac:dyDescent="0.25">
      <c r="A3" s="166">
        <f>DATE(YEAR(A2),MONTH(A2),DAY(A2)+7)</f>
        <v>44212</v>
      </c>
      <c r="B3" s="167">
        <v>262</v>
      </c>
      <c r="C3" s="168">
        <v>197</v>
      </c>
      <c r="D3" s="169">
        <v>70</v>
      </c>
      <c r="E3" s="170">
        <v>65</v>
      </c>
      <c r="F3" s="167">
        <v>205.8</v>
      </c>
      <c r="G3" s="171">
        <v>114</v>
      </c>
      <c r="H3" s="171">
        <v>100</v>
      </c>
      <c r="I3" s="172">
        <v>0</v>
      </c>
      <c r="J3" s="173">
        <v>0</v>
      </c>
      <c r="K3" s="154">
        <f>SUM(IncomeSummary[[#This Row],[TITHE]:[ANNUAL HARVEST]])</f>
        <v>1013.8</v>
      </c>
    </row>
    <row r="4" spans="1:11" ht="15" customHeight="1" x14ac:dyDescent="0.25">
      <c r="A4" s="166">
        <f>DATE(YEAR(A3),MONTH(A3),DAY(A3)+7)</f>
        <v>44219</v>
      </c>
      <c r="B4" s="167">
        <v>376</v>
      </c>
      <c r="C4" s="168">
        <v>196</v>
      </c>
      <c r="D4" s="169">
        <v>50</v>
      </c>
      <c r="E4" s="170">
        <v>100</v>
      </c>
      <c r="F4" s="167">
        <v>214.5</v>
      </c>
      <c r="G4" s="171">
        <v>64</v>
      </c>
      <c r="H4" s="171">
        <v>437</v>
      </c>
      <c r="I4" s="172">
        <v>0</v>
      </c>
      <c r="J4" s="173">
        <v>0</v>
      </c>
      <c r="K4" s="154">
        <f>SUM(IncomeSummary[[#This Row],[TITHE]:[ANNUAL HARVEST]])</f>
        <v>1437.5</v>
      </c>
    </row>
    <row r="5" spans="1:11" ht="15" customHeight="1" x14ac:dyDescent="0.25">
      <c r="A5" s="166">
        <f t="shared" ref="A5:A68" si="0">DATE(YEAR(A4),MONTH(A4),DAY(A4)+7)</f>
        <v>44226</v>
      </c>
      <c r="B5" s="167">
        <v>726</v>
      </c>
      <c r="C5" s="168">
        <v>141</v>
      </c>
      <c r="D5" s="169"/>
      <c r="E5" s="170">
        <v>19</v>
      </c>
      <c r="F5" s="167">
        <v>35</v>
      </c>
      <c r="G5" s="171">
        <v>168</v>
      </c>
      <c r="H5" s="171">
        <v>1335</v>
      </c>
      <c r="I5" s="172"/>
      <c r="J5" s="173">
        <v>0</v>
      </c>
      <c r="K5" s="154">
        <f>SUM(IncomeSummary[[#This Row],[TITHE]:[ANNUAL HARVEST]])</f>
        <v>2424</v>
      </c>
    </row>
    <row r="6" spans="1:11" ht="15" hidden="1" customHeight="1" x14ac:dyDescent="0.25">
      <c r="A6" s="166">
        <f t="shared" si="0"/>
        <v>44233</v>
      </c>
      <c r="B6" s="167">
        <v>302</v>
      </c>
      <c r="C6" s="168">
        <v>188</v>
      </c>
      <c r="D6" s="169">
        <v>70</v>
      </c>
      <c r="E6" s="170">
        <v>50</v>
      </c>
      <c r="F6" s="167">
        <v>119</v>
      </c>
      <c r="G6" s="171">
        <v>82</v>
      </c>
      <c r="H6" s="171">
        <v>0</v>
      </c>
      <c r="I6" s="172">
        <v>0</v>
      </c>
      <c r="J6" s="173">
        <v>0</v>
      </c>
      <c r="K6" s="154">
        <f>SUM(IncomeSummary[[#This Row],[TITHE]:[ANNUAL HARVEST]])</f>
        <v>811</v>
      </c>
    </row>
    <row r="7" spans="1:11" ht="15" hidden="1" customHeight="1" x14ac:dyDescent="0.25">
      <c r="A7" s="166">
        <f t="shared" si="0"/>
        <v>44240</v>
      </c>
      <c r="B7" s="167">
        <v>176</v>
      </c>
      <c r="C7" s="168">
        <v>166</v>
      </c>
      <c r="D7" s="169">
        <v>7</v>
      </c>
      <c r="E7" s="170">
        <v>46</v>
      </c>
      <c r="F7" s="167">
        <v>44.4</v>
      </c>
      <c r="G7" s="171">
        <v>0</v>
      </c>
      <c r="H7" s="171"/>
      <c r="I7" s="172"/>
      <c r="J7" s="173">
        <v>0</v>
      </c>
      <c r="K7" s="154">
        <f>SUM(IncomeSummary[[#This Row],[TITHE]:[ANNUAL HARVEST]])</f>
        <v>439.4</v>
      </c>
    </row>
    <row r="8" spans="1:11" ht="15" hidden="1" customHeight="1" x14ac:dyDescent="0.25">
      <c r="A8" s="166">
        <f t="shared" si="0"/>
        <v>44247</v>
      </c>
      <c r="B8" s="167">
        <v>377</v>
      </c>
      <c r="C8" s="168">
        <v>241</v>
      </c>
      <c r="D8" s="169">
        <v>30</v>
      </c>
      <c r="E8" s="170">
        <v>90</v>
      </c>
      <c r="F8" s="167">
        <v>292</v>
      </c>
      <c r="G8" s="171">
        <v>56</v>
      </c>
      <c r="H8" s="171"/>
      <c r="I8" s="172">
        <v>420</v>
      </c>
      <c r="J8" s="173">
        <v>0</v>
      </c>
      <c r="K8" s="154">
        <f>SUM(IncomeSummary[[#This Row],[TITHE]:[ANNUAL HARVEST]])</f>
        <v>1506</v>
      </c>
    </row>
    <row r="9" spans="1:11" ht="15" hidden="1" customHeight="1" x14ac:dyDescent="0.25">
      <c r="A9" s="166">
        <f t="shared" si="0"/>
        <v>44254</v>
      </c>
      <c r="B9" s="167">
        <v>420</v>
      </c>
      <c r="C9" s="168">
        <v>226</v>
      </c>
      <c r="D9" s="169">
        <v>50</v>
      </c>
      <c r="E9" s="170">
        <v>40</v>
      </c>
      <c r="F9" s="167">
        <v>175.2</v>
      </c>
      <c r="G9" s="171">
        <v>108</v>
      </c>
      <c r="H9" s="171">
        <v>0</v>
      </c>
      <c r="I9" s="172">
        <v>0</v>
      </c>
      <c r="J9" s="173">
        <v>0</v>
      </c>
      <c r="K9" s="154">
        <f>SUM(IncomeSummary[[#This Row],[TITHE]:[ANNUAL HARVEST]])</f>
        <v>1019.2</v>
      </c>
    </row>
    <row r="10" spans="1:11" ht="15" hidden="1" customHeight="1" x14ac:dyDescent="0.25">
      <c r="A10" s="166">
        <f t="shared" si="0"/>
        <v>44261</v>
      </c>
      <c r="B10" s="167">
        <v>329</v>
      </c>
      <c r="C10" s="168">
        <v>195</v>
      </c>
      <c r="D10" s="169">
        <v>10</v>
      </c>
      <c r="E10" s="170">
        <v>14</v>
      </c>
      <c r="F10" s="167">
        <v>77</v>
      </c>
      <c r="G10" s="171">
        <v>92</v>
      </c>
      <c r="H10" s="171">
        <v>325</v>
      </c>
      <c r="I10" s="172">
        <v>0</v>
      </c>
      <c r="J10" s="173">
        <v>0</v>
      </c>
      <c r="K10" s="154">
        <f>SUM(IncomeSummary[[#This Row],[TITHE]:[ANNUAL HARVEST]])</f>
        <v>1042</v>
      </c>
    </row>
    <row r="11" spans="1:11" ht="15" hidden="1" customHeight="1" x14ac:dyDescent="0.25">
      <c r="A11" s="166">
        <f t="shared" si="0"/>
        <v>44268</v>
      </c>
      <c r="B11" s="167">
        <v>299</v>
      </c>
      <c r="C11" s="168">
        <v>202</v>
      </c>
      <c r="D11" s="169">
        <v>20</v>
      </c>
      <c r="E11" s="170">
        <v>50</v>
      </c>
      <c r="F11" s="167">
        <v>180</v>
      </c>
      <c r="G11" s="171">
        <v>12</v>
      </c>
      <c r="H11" s="171">
        <v>658</v>
      </c>
      <c r="I11" s="172">
        <v>0</v>
      </c>
      <c r="J11" s="173">
        <v>0</v>
      </c>
      <c r="K11" s="154">
        <f>SUM(IncomeSummary[[#This Row],[TITHE]:[ANNUAL HARVEST]])</f>
        <v>1421</v>
      </c>
    </row>
    <row r="12" spans="1:11" ht="15" hidden="1" customHeight="1" x14ac:dyDescent="0.25">
      <c r="A12" s="166">
        <f t="shared" si="0"/>
        <v>44275</v>
      </c>
      <c r="B12" s="167">
        <v>191</v>
      </c>
      <c r="C12" s="168">
        <v>117</v>
      </c>
      <c r="D12" s="169">
        <v>20</v>
      </c>
      <c r="E12" s="170">
        <v>30</v>
      </c>
      <c r="F12" s="167">
        <v>44</v>
      </c>
      <c r="G12" s="171">
        <v>74</v>
      </c>
      <c r="H12" s="171">
        <v>0</v>
      </c>
      <c r="I12" s="172">
        <v>0</v>
      </c>
      <c r="J12" s="173">
        <v>0</v>
      </c>
      <c r="K12" s="154">
        <f>SUM(IncomeSummary[[#This Row],[TITHE]:[ANNUAL HARVEST]])</f>
        <v>476</v>
      </c>
    </row>
    <row r="13" spans="1:11" ht="15" hidden="1" customHeight="1" x14ac:dyDescent="0.25">
      <c r="A13" s="166">
        <f t="shared" si="0"/>
        <v>44282</v>
      </c>
      <c r="B13" s="167">
        <v>669</v>
      </c>
      <c r="C13" s="168">
        <v>178</v>
      </c>
      <c r="D13" s="169">
        <v>45</v>
      </c>
      <c r="E13" s="170">
        <v>20</v>
      </c>
      <c r="F13" s="167">
        <v>97</v>
      </c>
      <c r="G13" s="171">
        <v>66</v>
      </c>
      <c r="H13" s="171">
        <v>1200</v>
      </c>
      <c r="I13" s="172">
        <v>0</v>
      </c>
      <c r="J13" s="173">
        <v>0</v>
      </c>
      <c r="K13" s="154">
        <f>SUM(IncomeSummary[[#This Row],[TITHE]:[ANNUAL HARVEST]])</f>
        <v>2275</v>
      </c>
    </row>
    <row r="14" spans="1:11" ht="15" hidden="1" customHeight="1" x14ac:dyDescent="0.25">
      <c r="A14" s="166">
        <f t="shared" si="0"/>
        <v>44289</v>
      </c>
      <c r="B14" s="167">
        <v>283</v>
      </c>
      <c r="C14" s="168">
        <v>223</v>
      </c>
      <c r="D14" s="169">
        <v>17</v>
      </c>
      <c r="E14" s="170">
        <v>50</v>
      </c>
      <c r="F14" s="167">
        <v>128.4</v>
      </c>
      <c r="G14" s="171">
        <v>72</v>
      </c>
      <c r="H14" s="171">
        <v>0</v>
      </c>
      <c r="I14" s="172">
        <v>0</v>
      </c>
      <c r="J14" s="173">
        <v>0</v>
      </c>
      <c r="K14" s="154">
        <f>SUM(IncomeSummary[[#This Row],[TITHE]:[ANNUAL HARVEST]])</f>
        <v>773.4</v>
      </c>
    </row>
    <row r="15" spans="1:11" ht="15" hidden="1" customHeight="1" x14ac:dyDescent="0.25">
      <c r="A15" s="166">
        <f t="shared" si="0"/>
        <v>44296</v>
      </c>
      <c r="B15" s="167">
        <v>600</v>
      </c>
      <c r="C15" s="168">
        <v>301</v>
      </c>
      <c r="D15" s="169">
        <v>25</v>
      </c>
      <c r="E15" s="170">
        <v>68</v>
      </c>
      <c r="F15" s="167">
        <v>116.5</v>
      </c>
      <c r="G15" s="171">
        <v>50</v>
      </c>
      <c r="H15" s="171">
        <v>0</v>
      </c>
      <c r="I15" s="172">
        <v>0</v>
      </c>
      <c r="J15" s="173">
        <v>0</v>
      </c>
      <c r="K15" s="154">
        <f>SUM(IncomeSummary[[#This Row],[TITHE]:[ANNUAL HARVEST]])</f>
        <v>1160.5</v>
      </c>
    </row>
    <row r="16" spans="1:11" ht="15" hidden="1" customHeight="1" x14ac:dyDescent="0.25">
      <c r="A16" s="166">
        <f t="shared" si="0"/>
        <v>44303</v>
      </c>
      <c r="B16" s="167">
        <v>431</v>
      </c>
      <c r="C16" s="168">
        <v>269</v>
      </c>
      <c r="D16" s="169">
        <v>30</v>
      </c>
      <c r="E16" s="170">
        <v>90</v>
      </c>
      <c r="F16" s="167">
        <v>138</v>
      </c>
      <c r="G16" s="171">
        <v>80</v>
      </c>
      <c r="H16" s="171">
        <v>1450</v>
      </c>
      <c r="I16" s="172">
        <v>0</v>
      </c>
      <c r="J16" s="173">
        <v>0</v>
      </c>
      <c r="K16" s="154">
        <f>SUM(IncomeSummary[[#This Row],[TITHE]:[ANNUAL HARVEST]])</f>
        <v>2488</v>
      </c>
    </row>
    <row r="17" spans="1:11" ht="15" hidden="1" customHeight="1" x14ac:dyDescent="0.25">
      <c r="A17" s="166">
        <f t="shared" si="0"/>
        <v>44310</v>
      </c>
      <c r="B17" s="167">
        <v>175</v>
      </c>
      <c r="C17" s="168">
        <v>92</v>
      </c>
      <c r="D17" s="169">
        <v>12</v>
      </c>
      <c r="E17" s="170">
        <v>50</v>
      </c>
      <c r="F17" s="167">
        <v>75.5</v>
      </c>
      <c r="G17" s="171">
        <v>58</v>
      </c>
      <c r="H17" s="171">
        <v>1000</v>
      </c>
      <c r="I17" s="172">
        <v>0</v>
      </c>
      <c r="J17" s="173">
        <v>0</v>
      </c>
      <c r="K17" s="154">
        <f>SUM(IncomeSummary[[#This Row],[TITHE]:[ANNUAL HARVEST]])</f>
        <v>1462.5</v>
      </c>
    </row>
    <row r="18" spans="1:11" ht="15" hidden="1" customHeight="1" x14ac:dyDescent="0.25">
      <c r="A18" s="166">
        <f t="shared" si="0"/>
        <v>44317</v>
      </c>
      <c r="B18" s="167">
        <v>437</v>
      </c>
      <c r="C18" s="168">
        <v>163</v>
      </c>
      <c r="D18" s="169">
        <v>30</v>
      </c>
      <c r="E18" s="170">
        <v>50</v>
      </c>
      <c r="F18" s="167">
        <v>125.5</v>
      </c>
      <c r="G18" s="171">
        <v>34</v>
      </c>
      <c r="H18" s="171">
        <v>0</v>
      </c>
      <c r="I18" s="172">
        <v>0</v>
      </c>
      <c r="J18" s="173">
        <v>0</v>
      </c>
      <c r="K18" s="154">
        <f>SUM(IncomeSummary[[#This Row],[TITHE]:[ANNUAL HARVEST]])</f>
        <v>839.5</v>
      </c>
    </row>
    <row r="19" spans="1:11" ht="15" hidden="1" customHeight="1" x14ac:dyDescent="0.25">
      <c r="A19" s="166">
        <f t="shared" si="0"/>
        <v>44324</v>
      </c>
      <c r="B19" s="167">
        <v>205</v>
      </c>
      <c r="C19" s="168">
        <v>87</v>
      </c>
      <c r="D19" s="169">
        <v>20</v>
      </c>
      <c r="E19" s="170">
        <v>53</v>
      </c>
      <c r="F19" s="167">
        <v>265</v>
      </c>
      <c r="G19" s="171">
        <v>52</v>
      </c>
      <c r="H19" s="171">
        <v>0</v>
      </c>
      <c r="I19" s="172">
        <v>0</v>
      </c>
      <c r="J19" s="173">
        <v>0</v>
      </c>
      <c r="K19" s="154">
        <f>SUM(IncomeSummary[[#This Row],[TITHE]:[ANNUAL HARVEST]])</f>
        <v>682</v>
      </c>
    </row>
    <row r="20" spans="1:11" ht="15" hidden="1" customHeight="1" x14ac:dyDescent="0.25">
      <c r="A20" s="166">
        <f t="shared" si="0"/>
        <v>44331</v>
      </c>
      <c r="B20" s="167">
        <v>433</v>
      </c>
      <c r="C20" s="168">
        <v>204</v>
      </c>
      <c r="D20" s="169">
        <v>10</v>
      </c>
      <c r="E20" s="170">
        <v>40</v>
      </c>
      <c r="F20" s="167">
        <v>85.7</v>
      </c>
      <c r="G20" s="171">
        <v>94</v>
      </c>
      <c r="H20" s="171">
        <v>0</v>
      </c>
      <c r="I20" s="172">
        <v>0</v>
      </c>
      <c r="J20" s="173">
        <v>0</v>
      </c>
      <c r="K20" s="154">
        <f>SUM(IncomeSummary[[#This Row],[TITHE]:[ANNUAL HARVEST]])</f>
        <v>866.7</v>
      </c>
    </row>
    <row r="21" spans="1:11" ht="15" hidden="1" customHeight="1" x14ac:dyDescent="0.25">
      <c r="A21" s="166">
        <f t="shared" si="0"/>
        <v>44338</v>
      </c>
      <c r="B21" s="167">
        <v>151</v>
      </c>
      <c r="C21" s="168">
        <v>142</v>
      </c>
      <c r="D21" s="169">
        <v>0</v>
      </c>
      <c r="E21" s="170">
        <v>40</v>
      </c>
      <c r="F21" s="167">
        <v>91.5</v>
      </c>
      <c r="G21" s="171">
        <v>24</v>
      </c>
      <c r="H21" s="171">
        <v>100</v>
      </c>
      <c r="I21" s="172">
        <v>0</v>
      </c>
      <c r="J21" s="173">
        <v>0</v>
      </c>
      <c r="K21" s="154">
        <f>SUM(IncomeSummary[[#This Row],[TITHE]:[ANNUAL HARVEST]])</f>
        <v>548.5</v>
      </c>
    </row>
    <row r="22" spans="1:11" ht="15" hidden="1" customHeight="1" x14ac:dyDescent="0.25">
      <c r="A22" s="166">
        <f t="shared" si="0"/>
        <v>44345</v>
      </c>
      <c r="B22" s="167">
        <v>340</v>
      </c>
      <c r="C22" s="168">
        <v>162</v>
      </c>
      <c r="D22" s="169">
        <v>50</v>
      </c>
      <c r="E22" s="170">
        <v>38</v>
      </c>
      <c r="F22" s="167">
        <v>127.5</v>
      </c>
      <c r="G22" s="171">
        <v>52</v>
      </c>
      <c r="H22" s="171">
        <v>1300</v>
      </c>
      <c r="I22" s="172">
        <v>0</v>
      </c>
      <c r="J22" s="173">
        <v>0</v>
      </c>
      <c r="K22" s="154">
        <f>SUM(IncomeSummary[[#This Row],[TITHE]:[ANNUAL HARVEST]])</f>
        <v>2069.5</v>
      </c>
    </row>
    <row r="23" spans="1:11" ht="15" hidden="1" customHeight="1" x14ac:dyDescent="0.25">
      <c r="A23" s="166">
        <f t="shared" si="0"/>
        <v>44352</v>
      </c>
      <c r="B23" s="167">
        <v>213</v>
      </c>
      <c r="C23" s="168">
        <v>184</v>
      </c>
      <c r="D23" s="169">
        <v>0</v>
      </c>
      <c r="E23" s="170">
        <v>300</v>
      </c>
      <c r="F23" s="167">
        <v>490</v>
      </c>
      <c r="G23" s="171">
        <v>0</v>
      </c>
      <c r="H23" s="171">
        <v>5066</v>
      </c>
      <c r="I23" s="172">
        <v>0</v>
      </c>
      <c r="J23" s="173">
        <v>0</v>
      </c>
      <c r="K23" s="154">
        <f>SUM(IncomeSummary[[#This Row],[TITHE]:[ANNUAL HARVEST]])</f>
        <v>6253</v>
      </c>
    </row>
    <row r="24" spans="1:11" ht="15" hidden="1" customHeight="1" x14ac:dyDescent="0.25">
      <c r="A24" s="166">
        <f t="shared" si="0"/>
        <v>44359</v>
      </c>
      <c r="B24" s="167">
        <v>193</v>
      </c>
      <c r="C24" s="168">
        <v>95</v>
      </c>
      <c r="D24" s="169">
        <v>60</v>
      </c>
      <c r="E24" s="170">
        <v>54</v>
      </c>
      <c r="F24" s="167">
        <v>172</v>
      </c>
      <c r="G24" s="171">
        <v>30</v>
      </c>
      <c r="H24" s="171">
        <v>0</v>
      </c>
      <c r="I24" s="172">
        <v>0</v>
      </c>
      <c r="J24" s="173">
        <v>0</v>
      </c>
      <c r="K24" s="154">
        <f>SUM(IncomeSummary[[#This Row],[TITHE]:[ANNUAL HARVEST]])</f>
        <v>604</v>
      </c>
    </row>
    <row r="25" spans="1:11" ht="15" hidden="1" customHeight="1" x14ac:dyDescent="0.25">
      <c r="A25" s="166">
        <f t="shared" si="0"/>
        <v>44366</v>
      </c>
      <c r="B25" s="167">
        <v>326</v>
      </c>
      <c r="C25" s="168">
        <v>175</v>
      </c>
      <c r="D25" s="169">
        <v>25</v>
      </c>
      <c r="E25" s="170">
        <v>105</v>
      </c>
      <c r="F25" s="167">
        <v>129.9</v>
      </c>
      <c r="G25" s="171">
        <v>44</v>
      </c>
      <c r="H25" s="171">
        <v>400</v>
      </c>
      <c r="I25" s="172">
        <v>0</v>
      </c>
      <c r="J25" s="173">
        <v>0</v>
      </c>
      <c r="K25" s="154">
        <f>SUM(IncomeSummary[[#This Row],[TITHE]:[ANNUAL HARVEST]])</f>
        <v>1204.9000000000001</v>
      </c>
    </row>
    <row r="26" spans="1:11" ht="15" hidden="1" customHeight="1" x14ac:dyDescent="0.25">
      <c r="A26" s="166">
        <f t="shared" si="0"/>
        <v>44373</v>
      </c>
      <c r="B26" s="167">
        <v>209</v>
      </c>
      <c r="C26" s="168">
        <v>139</v>
      </c>
      <c r="D26" s="169">
        <v>20</v>
      </c>
      <c r="E26" s="170">
        <v>80</v>
      </c>
      <c r="F26" s="167">
        <v>233</v>
      </c>
      <c r="G26" s="171">
        <v>38</v>
      </c>
      <c r="H26" s="171">
        <v>0</v>
      </c>
      <c r="I26" s="172">
        <v>0</v>
      </c>
      <c r="J26" s="173">
        <v>0</v>
      </c>
      <c r="K26" s="154">
        <f>SUM(IncomeSummary[[#This Row],[TITHE]:[ANNUAL HARVEST]])</f>
        <v>719</v>
      </c>
    </row>
    <row r="27" spans="1:11" ht="15" hidden="1" customHeight="1" x14ac:dyDescent="0.25">
      <c r="A27" s="166">
        <f t="shared" si="0"/>
        <v>44380</v>
      </c>
      <c r="B27" s="167">
        <v>174</v>
      </c>
      <c r="C27" s="168">
        <v>204</v>
      </c>
      <c r="D27" s="169">
        <v>30</v>
      </c>
      <c r="E27" s="170">
        <v>50</v>
      </c>
      <c r="F27" s="167">
        <v>222</v>
      </c>
      <c r="G27" s="171">
        <v>62</v>
      </c>
      <c r="H27" s="171">
        <v>0</v>
      </c>
      <c r="I27" s="172">
        <v>0</v>
      </c>
      <c r="J27" s="173">
        <v>0</v>
      </c>
      <c r="K27" s="154">
        <f>SUM(IncomeSummary[[#This Row],[TITHE]:[ANNUAL HARVEST]])</f>
        <v>742</v>
      </c>
    </row>
    <row r="28" spans="1:11" ht="15" hidden="1" customHeight="1" x14ac:dyDescent="0.25">
      <c r="A28" s="166">
        <f t="shared" si="0"/>
        <v>44387</v>
      </c>
      <c r="B28" s="167">
        <v>623</v>
      </c>
      <c r="C28" s="168">
        <v>239</v>
      </c>
      <c r="D28" s="169">
        <v>55</v>
      </c>
      <c r="E28" s="170">
        <v>41</v>
      </c>
      <c r="F28" s="167">
        <v>114.8</v>
      </c>
      <c r="G28" s="171">
        <v>204</v>
      </c>
      <c r="H28" s="171">
        <v>720</v>
      </c>
      <c r="I28" s="172">
        <v>0</v>
      </c>
      <c r="J28" s="173">
        <v>0</v>
      </c>
      <c r="K28" s="154">
        <f>SUM(IncomeSummary[[#This Row],[TITHE]:[ANNUAL HARVEST]])</f>
        <v>1996.8</v>
      </c>
    </row>
    <row r="29" spans="1:11" ht="15" hidden="1" customHeight="1" x14ac:dyDescent="0.25">
      <c r="A29" s="166">
        <f t="shared" si="0"/>
        <v>44394</v>
      </c>
      <c r="B29" s="167">
        <v>309</v>
      </c>
      <c r="C29" s="168">
        <v>179</v>
      </c>
      <c r="D29" s="169">
        <v>10</v>
      </c>
      <c r="E29" s="170">
        <v>103</v>
      </c>
      <c r="F29" s="167">
        <v>307</v>
      </c>
      <c r="G29" s="171">
        <v>90</v>
      </c>
      <c r="H29" s="171">
        <v>762</v>
      </c>
      <c r="I29" s="172">
        <v>0</v>
      </c>
      <c r="J29" s="173">
        <v>0</v>
      </c>
      <c r="K29" s="154">
        <f>SUM(IncomeSummary[[#This Row],[TITHE]:[ANNUAL HARVEST]])</f>
        <v>1760</v>
      </c>
    </row>
    <row r="30" spans="1:11" ht="15" hidden="1" customHeight="1" x14ac:dyDescent="0.25">
      <c r="A30" s="166">
        <f t="shared" si="0"/>
        <v>44401</v>
      </c>
      <c r="B30" s="167">
        <v>99</v>
      </c>
      <c r="C30" s="168">
        <v>77</v>
      </c>
      <c r="D30" s="169">
        <v>55</v>
      </c>
      <c r="E30" s="170">
        <v>45</v>
      </c>
      <c r="F30" s="167">
        <v>106</v>
      </c>
      <c r="G30" s="171">
        <v>30</v>
      </c>
      <c r="H30" s="171">
        <v>0</v>
      </c>
      <c r="I30" s="172">
        <v>0</v>
      </c>
      <c r="J30" s="173">
        <v>0</v>
      </c>
      <c r="K30" s="154">
        <f>SUM(IncomeSummary[[#This Row],[TITHE]:[ANNUAL HARVEST]])</f>
        <v>412</v>
      </c>
    </row>
    <row r="31" spans="1:11" ht="15" hidden="1" customHeight="1" x14ac:dyDescent="0.25">
      <c r="A31" s="166">
        <f t="shared" si="0"/>
        <v>44408</v>
      </c>
      <c r="B31" s="167">
        <v>557</v>
      </c>
      <c r="C31" s="168">
        <v>184</v>
      </c>
      <c r="D31" s="169">
        <v>70</v>
      </c>
      <c r="E31" s="170">
        <v>66</v>
      </c>
      <c r="F31" s="167">
        <v>124.6</v>
      </c>
      <c r="G31" s="171">
        <v>148</v>
      </c>
      <c r="H31" s="171">
        <v>200</v>
      </c>
      <c r="I31" s="172">
        <v>0</v>
      </c>
      <c r="J31" s="173">
        <v>0</v>
      </c>
      <c r="K31" s="154">
        <f>SUM(IncomeSummary[[#This Row],[TITHE]:[ANNUAL HARVEST]])</f>
        <v>1349.6</v>
      </c>
    </row>
    <row r="32" spans="1:11" ht="15" hidden="1" customHeight="1" x14ac:dyDescent="0.25">
      <c r="A32" s="166">
        <f t="shared" si="0"/>
        <v>44415</v>
      </c>
      <c r="B32" s="167">
        <v>468</v>
      </c>
      <c r="C32" s="168">
        <v>181</v>
      </c>
      <c r="D32" s="169">
        <v>31</v>
      </c>
      <c r="E32" s="170">
        <v>30</v>
      </c>
      <c r="F32" s="167">
        <v>82</v>
      </c>
      <c r="G32" s="171">
        <v>418</v>
      </c>
      <c r="H32" s="171">
        <v>0</v>
      </c>
      <c r="I32" s="172">
        <v>0</v>
      </c>
      <c r="J32" s="173">
        <v>0</v>
      </c>
      <c r="K32" s="154">
        <f>SUM(IncomeSummary[[#This Row],[TITHE]:[ANNUAL HARVEST]])</f>
        <v>1210</v>
      </c>
    </row>
    <row r="33" spans="1:11" ht="15" hidden="1" customHeight="1" x14ac:dyDescent="0.25">
      <c r="A33" s="166">
        <f t="shared" si="0"/>
        <v>44422</v>
      </c>
      <c r="B33" s="167">
        <v>307</v>
      </c>
      <c r="C33" s="168">
        <v>242</v>
      </c>
      <c r="D33" s="169">
        <v>22</v>
      </c>
      <c r="E33" s="170">
        <v>19</v>
      </c>
      <c r="F33" s="167">
        <v>135</v>
      </c>
      <c r="G33" s="171">
        <v>124</v>
      </c>
      <c r="H33" s="171">
        <v>0</v>
      </c>
      <c r="I33" s="172">
        <v>0</v>
      </c>
      <c r="J33" s="173">
        <v>0</v>
      </c>
      <c r="K33" s="154">
        <f>SUM(IncomeSummary[[#This Row],[TITHE]:[ANNUAL HARVEST]])</f>
        <v>849</v>
      </c>
    </row>
    <row r="34" spans="1:11" ht="15" hidden="1" customHeight="1" x14ac:dyDescent="0.25">
      <c r="A34" s="166">
        <f t="shared" si="0"/>
        <v>44429</v>
      </c>
      <c r="B34" s="167">
        <v>453</v>
      </c>
      <c r="C34" s="168">
        <v>140</v>
      </c>
      <c r="D34" s="169">
        <v>10</v>
      </c>
      <c r="E34" s="170">
        <v>30</v>
      </c>
      <c r="F34" s="167">
        <v>296</v>
      </c>
      <c r="G34" s="171">
        <v>40</v>
      </c>
      <c r="H34" s="171">
        <v>0</v>
      </c>
      <c r="I34" s="172">
        <v>0</v>
      </c>
      <c r="J34" s="173">
        <v>0</v>
      </c>
      <c r="K34" s="154">
        <f>SUM(IncomeSummary[[#This Row],[TITHE]:[ANNUAL HARVEST]])</f>
        <v>969</v>
      </c>
    </row>
    <row r="35" spans="1:11" ht="15" hidden="1" customHeight="1" x14ac:dyDescent="0.25">
      <c r="A35" s="166">
        <f t="shared" si="0"/>
        <v>44436</v>
      </c>
      <c r="B35" s="167">
        <v>257</v>
      </c>
      <c r="C35" s="168">
        <v>184</v>
      </c>
      <c r="D35" s="169">
        <v>0</v>
      </c>
      <c r="E35" s="170">
        <v>0</v>
      </c>
      <c r="F35" s="167">
        <v>0</v>
      </c>
      <c r="G35" s="171">
        <v>10</v>
      </c>
      <c r="H35" s="171">
        <v>250</v>
      </c>
      <c r="I35" s="172">
        <v>0</v>
      </c>
      <c r="J35" s="173">
        <v>0</v>
      </c>
      <c r="K35" s="154">
        <f>SUM(IncomeSummary[[#This Row],[TITHE]:[ANNUAL HARVEST]])</f>
        <v>701</v>
      </c>
    </row>
    <row r="36" spans="1:11" ht="15" hidden="1" customHeight="1" x14ac:dyDescent="0.25">
      <c r="A36" s="166">
        <f t="shared" si="0"/>
        <v>44443</v>
      </c>
      <c r="B36" s="167">
        <v>143</v>
      </c>
      <c r="C36" s="168">
        <v>143</v>
      </c>
      <c r="D36" s="169">
        <v>20</v>
      </c>
      <c r="E36" s="170">
        <v>70</v>
      </c>
      <c r="F36" s="167">
        <v>124</v>
      </c>
      <c r="G36" s="171">
        <v>72</v>
      </c>
      <c r="H36" s="171">
        <v>0</v>
      </c>
      <c r="I36" s="172">
        <v>0</v>
      </c>
      <c r="J36" s="173">
        <v>0</v>
      </c>
      <c r="K36" s="154">
        <f>SUM(IncomeSummary[[#This Row],[TITHE]:[ANNUAL HARVEST]])</f>
        <v>572</v>
      </c>
    </row>
    <row r="37" spans="1:11" ht="15" hidden="1" customHeight="1" x14ac:dyDescent="0.25">
      <c r="A37" s="166">
        <f t="shared" si="0"/>
        <v>44450</v>
      </c>
      <c r="B37" s="167">
        <v>579</v>
      </c>
      <c r="C37" s="168">
        <v>212</v>
      </c>
      <c r="D37" s="169">
        <v>40</v>
      </c>
      <c r="E37" s="170">
        <v>25</v>
      </c>
      <c r="F37" s="167">
        <v>92</v>
      </c>
      <c r="G37" s="171">
        <v>88</v>
      </c>
      <c r="H37" s="171">
        <v>0</v>
      </c>
      <c r="I37" s="172">
        <v>0</v>
      </c>
      <c r="J37" s="173">
        <v>0</v>
      </c>
      <c r="K37" s="154">
        <f>SUM(IncomeSummary[[#This Row],[TITHE]:[ANNUAL HARVEST]])</f>
        <v>1036</v>
      </c>
    </row>
    <row r="38" spans="1:11" ht="15" hidden="1" customHeight="1" x14ac:dyDescent="0.25">
      <c r="A38" s="166">
        <f t="shared" si="0"/>
        <v>44457</v>
      </c>
      <c r="B38" s="167">
        <v>283</v>
      </c>
      <c r="C38" s="168">
        <v>165</v>
      </c>
      <c r="D38" s="169">
        <v>20</v>
      </c>
      <c r="E38" s="170">
        <v>35</v>
      </c>
      <c r="F38" s="167">
        <v>60</v>
      </c>
      <c r="G38" s="171">
        <v>102</v>
      </c>
      <c r="H38" s="171">
        <v>250</v>
      </c>
      <c r="I38" s="172">
        <v>0</v>
      </c>
      <c r="J38" s="173">
        <v>0</v>
      </c>
      <c r="K38" s="154">
        <f>SUM(IncomeSummary[[#This Row],[TITHE]:[ANNUAL HARVEST]])</f>
        <v>915</v>
      </c>
    </row>
    <row r="39" spans="1:11" ht="15" hidden="1" customHeight="1" x14ac:dyDescent="0.25">
      <c r="A39" s="166">
        <f t="shared" si="0"/>
        <v>44464</v>
      </c>
      <c r="B39" s="167">
        <v>331</v>
      </c>
      <c r="C39" s="168">
        <v>167</v>
      </c>
      <c r="D39" s="169">
        <v>70</v>
      </c>
      <c r="E39" s="170">
        <v>37</v>
      </c>
      <c r="F39" s="167">
        <v>150</v>
      </c>
      <c r="G39" s="171">
        <v>164</v>
      </c>
      <c r="H39" s="171">
        <v>0</v>
      </c>
      <c r="I39" s="172">
        <v>0</v>
      </c>
      <c r="J39" s="173">
        <v>0</v>
      </c>
      <c r="K39" s="154">
        <f>SUM(IncomeSummary[[#This Row],[TITHE]:[ANNUAL HARVEST]])</f>
        <v>919</v>
      </c>
    </row>
    <row r="40" spans="1:11" ht="15" hidden="1" customHeight="1" x14ac:dyDescent="0.25">
      <c r="A40" s="166">
        <f t="shared" si="0"/>
        <v>44471</v>
      </c>
      <c r="B40" s="167">
        <v>238</v>
      </c>
      <c r="C40" s="168">
        <v>179</v>
      </c>
      <c r="D40" s="169">
        <v>57</v>
      </c>
      <c r="E40" s="170">
        <v>100</v>
      </c>
      <c r="F40" s="167">
        <v>427.9</v>
      </c>
      <c r="G40" s="171">
        <v>98</v>
      </c>
      <c r="H40" s="171">
        <v>130</v>
      </c>
      <c r="I40" s="172">
        <v>0</v>
      </c>
      <c r="J40" s="173">
        <v>0</v>
      </c>
      <c r="K40" s="154">
        <f>SUM(IncomeSummary[[#This Row],[TITHE]:[ANNUAL HARVEST]])</f>
        <v>1229.9000000000001</v>
      </c>
    </row>
    <row r="41" spans="1:11" ht="15" hidden="1" customHeight="1" x14ac:dyDescent="0.25">
      <c r="A41" s="166">
        <f t="shared" si="0"/>
        <v>44478</v>
      </c>
      <c r="B41" s="167">
        <v>135</v>
      </c>
      <c r="C41" s="168">
        <v>217</v>
      </c>
      <c r="D41" s="169">
        <v>30</v>
      </c>
      <c r="E41" s="170">
        <v>50</v>
      </c>
      <c r="F41" s="167">
        <v>366.5</v>
      </c>
      <c r="G41" s="171">
        <v>70</v>
      </c>
      <c r="H41" s="171">
        <v>0</v>
      </c>
      <c r="I41" s="172">
        <v>0</v>
      </c>
      <c r="J41" s="173">
        <v>0</v>
      </c>
      <c r="K41" s="154">
        <f>SUM(IncomeSummary[[#This Row],[TITHE]:[ANNUAL HARVEST]])</f>
        <v>868.5</v>
      </c>
    </row>
    <row r="42" spans="1:11" ht="15" hidden="1" customHeight="1" x14ac:dyDescent="0.25">
      <c r="A42" s="166">
        <f t="shared" si="0"/>
        <v>44485</v>
      </c>
      <c r="B42" s="167">
        <v>249</v>
      </c>
      <c r="C42" s="168">
        <v>169</v>
      </c>
      <c r="D42" s="169">
        <v>50</v>
      </c>
      <c r="E42" s="170">
        <v>50</v>
      </c>
      <c r="F42" s="167">
        <v>102.7</v>
      </c>
      <c r="G42" s="171">
        <v>30</v>
      </c>
      <c r="H42" s="171">
        <v>0</v>
      </c>
      <c r="I42" s="172">
        <v>0</v>
      </c>
      <c r="J42" s="173">
        <v>0</v>
      </c>
      <c r="K42" s="154">
        <f>SUM(IncomeSummary[[#This Row],[TITHE]:[ANNUAL HARVEST]])</f>
        <v>650.70000000000005</v>
      </c>
    </row>
    <row r="43" spans="1:11" ht="15" hidden="1" customHeight="1" x14ac:dyDescent="0.25">
      <c r="A43" s="166">
        <f t="shared" si="0"/>
        <v>44492</v>
      </c>
      <c r="B43" s="167">
        <v>119</v>
      </c>
      <c r="C43" s="168">
        <v>85</v>
      </c>
      <c r="D43" s="169">
        <v>0</v>
      </c>
      <c r="E43" s="170">
        <v>37</v>
      </c>
      <c r="F43" s="167">
        <v>82</v>
      </c>
      <c r="G43" s="171">
        <v>22</v>
      </c>
      <c r="H43" s="171">
        <v>0</v>
      </c>
      <c r="I43" s="172">
        <v>0</v>
      </c>
      <c r="J43" s="173">
        <v>0</v>
      </c>
      <c r="K43" s="154">
        <f>SUM(IncomeSummary[[#This Row],[TITHE]:[ANNUAL HARVEST]])</f>
        <v>345</v>
      </c>
    </row>
    <row r="44" spans="1:11" ht="15" hidden="1" customHeight="1" x14ac:dyDescent="0.25">
      <c r="A44" s="166">
        <f t="shared" si="0"/>
        <v>44499</v>
      </c>
      <c r="B44" s="167">
        <v>243</v>
      </c>
      <c r="C44" s="168">
        <v>93</v>
      </c>
      <c r="D44" s="169">
        <v>0</v>
      </c>
      <c r="E44" s="170">
        <v>0</v>
      </c>
      <c r="F44" s="167">
        <v>0</v>
      </c>
      <c r="G44" s="171">
        <v>50</v>
      </c>
      <c r="H44" s="171">
        <v>972.5</v>
      </c>
      <c r="I44" s="172">
        <v>0</v>
      </c>
      <c r="J44" s="173">
        <v>0</v>
      </c>
      <c r="K44" s="154">
        <f>SUM(IncomeSummary[[#This Row],[TITHE]:[ANNUAL HARVEST]])</f>
        <v>1358.5</v>
      </c>
    </row>
    <row r="45" spans="1:11" ht="15" hidden="1" customHeight="1" x14ac:dyDescent="0.25">
      <c r="A45" s="166">
        <f t="shared" si="0"/>
        <v>44506</v>
      </c>
      <c r="B45" s="167">
        <v>298</v>
      </c>
      <c r="C45" s="168">
        <v>237</v>
      </c>
      <c r="D45" s="169">
        <v>25</v>
      </c>
      <c r="E45" s="170">
        <v>49</v>
      </c>
      <c r="F45" s="167">
        <v>60</v>
      </c>
      <c r="G45" s="171">
        <v>152</v>
      </c>
      <c r="H45" s="171">
        <v>0</v>
      </c>
      <c r="I45" s="172">
        <v>0</v>
      </c>
      <c r="J45" s="173">
        <v>0</v>
      </c>
      <c r="K45" s="154">
        <f>SUM(IncomeSummary[[#This Row],[TITHE]:[ANNUAL HARVEST]])</f>
        <v>821</v>
      </c>
    </row>
    <row r="46" spans="1:11" ht="15" hidden="1" customHeight="1" x14ac:dyDescent="0.25">
      <c r="A46" s="166">
        <f t="shared" si="0"/>
        <v>44513</v>
      </c>
      <c r="B46" s="167">
        <v>194</v>
      </c>
      <c r="C46" s="168">
        <v>165</v>
      </c>
      <c r="D46" s="169">
        <v>100</v>
      </c>
      <c r="E46" s="170">
        <v>150</v>
      </c>
      <c r="F46" s="167">
        <v>588</v>
      </c>
      <c r="G46" s="171">
        <v>112</v>
      </c>
      <c r="H46" s="171">
        <v>0</v>
      </c>
      <c r="I46" s="172">
        <v>0</v>
      </c>
      <c r="J46" s="173">
        <v>0</v>
      </c>
      <c r="K46" s="154">
        <f>SUM(IncomeSummary[[#This Row],[TITHE]:[ANNUAL HARVEST]])</f>
        <v>1309</v>
      </c>
    </row>
    <row r="47" spans="1:11" ht="15" hidden="1" customHeight="1" x14ac:dyDescent="0.25">
      <c r="A47" s="166">
        <f t="shared" si="0"/>
        <v>44520</v>
      </c>
      <c r="B47" s="167">
        <v>306</v>
      </c>
      <c r="C47" s="168">
        <v>119</v>
      </c>
      <c r="D47" s="169">
        <v>50</v>
      </c>
      <c r="E47" s="170">
        <v>50</v>
      </c>
      <c r="F47" s="167">
        <v>71</v>
      </c>
      <c r="G47" s="171">
        <v>112</v>
      </c>
      <c r="H47" s="171">
        <v>11090</v>
      </c>
      <c r="I47" s="172">
        <v>0</v>
      </c>
      <c r="J47" s="173">
        <v>0</v>
      </c>
      <c r="K47" s="154">
        <f>SUM(IncomeSummary[[#This Row],[TITHE]:[ANNUAL HARVEST]])</f>
        <v>11798</v>
      </c>
    </row>
    <row r="48" spans="1:11" ht="15" hidden="1" customHeight="1" x14ac:dyDescent="0.25">
      <c r="A48" s="166">
        <f t="shared" si="0"/>
        <v>44527</v>
      </c>
      <c r="B48" s="167">
        <v>218</v>
      </c>
      <c r="C48" s="168">
        <v>112</v>
      </c>
      <c r="D48" s="169">
        <v>0</v>
      </c>
      <c r="E48" s="170">
        <v>0</v>
      </c>
      <c r="F48" s="167">
        <v>52</v>
      </c>
      <c r="G48" s="171">
        <v>60</v>
      </c>
      <c r="H48" s="171">
        <v>2600</v>
      </c>
      <c r="I48" s="172">
        <v>0</v>
      </c>
      <c r="J48" s="173">
        <v>0</v>
      </c>
      <c r="K48" s="154">
        <f>SUM(IncomeSummary[[#This Row],[TITHE]:[ANNUAL HARVEST]])</f>
        <v>3042</v>
      </c>
    </row>
    <row r="49" spans="1:11" hidden="1" x14ac:dyDescent="0.25">
      <c r="A49" s="166">
        <f t="shared" si="0"/>
        <v>44534</v>
      </c>
      <c r="B49" s="167">
        <v>200</v>
      </c>
      <c r="C49" s="168">
        <v>110</v>
      </c>
      <c r="D49" s="169">
        <v>50</v>
      </c>
      <c r="E49" s="170">
        <v>48</v>
      </c>
      <c r="F49" s="167">
        <v>175</v>
      </c>
      <c r="G49" s="171">
        <v>186</v>
      </c>
      <c r="H49" s="171">
        <v>200</v>
      </c>
      <c r="I49" s="172">
        <v>0</v>
      </c>
      <c r="J49" s="173">
        <v>0</v>
      </c>
      <c r="K49" s="154">
        <f>SUM(IncomeSummary[[#This Row],[TITHE]:[ANNUAL HARVEST]])</f>
        <v>969</v>
      </c>
    </row>
    <row r="50" spans="1:11" hidden="1" x14ac:dyDescent="0.25">
      <c r="A50" s="166">
        <f t="shared" si="0"/>
        <v>44541</v>
      </c>
      <c r="B50" s="167">
        <v>158</v>
      </c>
      <c r="C50" s="168">
        <v>178</v>
      </c>
      <c r="D50" s="169">
        <v>30</v>
      </c>
      <c r="E50" s="170">
        <v>46</v>
      </c>
      <c r="F50" s="167">
        <v>102</v>
      </c>
      <c r="G50" s="171">
        <v>172</v>
      </c>
      <c r="H50" s="171">
        <v>0</v>
      </c>
      <c r="I50" s="172">
        <v>0</v>
      </c>
      <c r="J50" s="173">
        <v>0</v>
      </c>
      <c r="K50" s="154">
        <f>SUM(IncomeSummary[[#This Row],[TITHE]:[ANNUAL HARVEST]])</f>
        <v>686</v>
      </c>
    </row>
    <row r="51" spans="1:11" hidden="1" x14ac:dyDescent="0.25">
      <c r="A51" s="166">
        <f t="shared" si="0"/>
        <v>44548</v>
      </c>
      <c r="B51" s="167">
        <v>344</v>
      </c>
      <c r="C51" s="168">
        <v>238</v>
      </c>
      <c r="D51" s="169">
        <v>20</v>
      </c>
      <c r="E51" s="170">
        <v>0</v>
      </c>
      <c r="F51" s="167">
        <v>56</v>
      </c>
      <c r="G51" s="171">
        <v>240</v>
      </c>
      <c r="H51" s="171">
        <v>0</v>
      </c>
      <c r="I51" s="172">
        <v>0</v>
      </c>
      <c r="J51" s="173">
        <v>12000</v>
      </c>
      <c r="K51" s="154">
        <f>SUM(IncomeSummary[[#This Row],[TITHE]:[ANNUAL HARVEST]])</f>
        <v>12898</v>
      </c>
    </row>
    <row r="52" spans="1:11" hidden="1" x14ac:dyDescent="0.25">
      <c r="A52" s="166">
        <f t="shared" si="0"/>
        <v>44555</v>
      </c>
      <c r="B52" s="167">
        <v>231</v>
      </c>
      <c r="C52" s="168">
        <v>127</v>
      </c>
      <c r="D52" s="169">
        <v>130</v>
      </c>
      <c r="E52" s="170">
        <v>54</v>
      </c>
      <c r="F52" s="167">
        <v>420</v>
      </c>
      <c r="G52" s="171">
        <v>577</v>
      </c>
      <c r="H52" s="171">
        <v>4850</v>
      </c>
      <c r="I52" s="172">
        <v>0</v>
      </c>
      <c r="J52" s="173">
        <v>0</v>
      </c>
      <c r="K52" s="154">
        <f>SUM(IncomeSummary[[#This Row],[TITHE]:[ANNUAL HARVEST]])</f>
        <v>6389</v>
      </c>
    </row>
    <row r="53" spans="1:11" ht="15" hidden="1" customHeight="1" x14ac:dyDescent="0.25">
      <c r="A53" s="166">
        <f t="shared" si="0"/>
        <v>44562</v>
      </c>
      <c r="B53" s="167">
        <v>355</v>
      </c>
      <c r="C53" s="168">
        <v>98</v>
      </c>
      <c r="D53" s="169">
        <v>0</v>
      </c>
      <c r="E53" s="170">
        <v>0</v>
      </c>
      <c r="F53" s="167">
        <v>90.4</v>
      </c>
      <c r="G53" s="171">
        <v>130</v>
      </c>
      <c r="H53" s="171">
        <v>3373</v>
      </c>
      <c r="I53" s="172">
        <v>0</v>
      </c>
      <c r="J53" s="173">
        <v>0</v>
      </c>
      <c r="K53" s="154">
        <f>SUM(IncomeSummary[[#This Row],[TITHE]:[ANNUAL HARVEST]])</f>
        <v>4046.4</v>
      </c>
    </row>
    <row r="54" spans="1:11" ht="15" hidden="1" customHeight="1" x14ac:dyDescent="0.25">
      <c r="A54" s="166">
        <f t="shared" si="0"/>
        <v>44569</v>
      </c>
      <c r="B54" s="167">
        <v>608</v>
      </c>
      <c r="C54" s="168">
        <v>337</v>
      </c>
      <c r="D54" s="169">
        <v>40</v>
      </c>
      <c r="E54" s="170">
        <v>50</v>
      </c>
      <c r="F54" s="167">
        <v>193</v>
      </c>
      <c r="G54" s="171">
        <v>169</v>
      </c>
      <c r="H54" s="171">
        <v>251</v>
      </c>
      <c r="I54" s="172">
        <v>0</v>
      </c>
      <c r="J54" s="173">
        <v>0</v>
      </c>
      <c r="K54" s="154">
        <f>SUM(IncomeSummary[[#This Row],[TITHE]:[ANNUAL HARVEST]])</f>
        <v>1648</v>
      </c>
    </row>
    <row r="55" spans="1:11" ht="15" hidden="1" customHeight="1" x14ac:dyDescent="0.25">
      <c r="A55" s="166">
        <f t="shared" si="0"/>
        <v>44576</v>
      </c>
      <c r="B55" s="167">
        <v>215</v>
      </c>
      <c r="C55" s="168">
        <v>155</v>
      </c>
      <c r="D55" s="169">
        <v>30</v>
      </c>
      <c r="E55" s="170">
        <v>53</v>
      </c>
      <c r="F55" s="167">
        <v>99.7</v>
      </c>
      <c r="G55" s="171">
        <v>130</v>
      </c>
      <c r="H55" s="171">
        <v>0</v>
      </c>
      <c r="I55" s="172">
        <v>0</v>
      </c>
      <c r="J55" s="173">
        <v>0</v>
      </c>
      <c r="K55" s="154">
        <f>SUM(IncomeSummary[[#This Row],[TITHE]:[ANNUAL HARVEST]])</f>
        <v>682.7</v>
      </c>
    </row>
    <row r="56" spans="1:11" ht="15" hidden="1" customHeight="1" x14ac:dyDescent="0.25">
      <c r="A56" s="166">
        <f t="shared" si="0"/>
        <v>44583</v>
      </c>
      <c r="B56" s="167">
        <v>281.5</v>
      </c>
      <c r="C56" s="168">
        <v>217</v>
      </c>
      <c r="D56" s="169">
        <v>15</v>
      </c>
      <c r="E56" s="170">
        <v>50</v>
      </c>
      <c r="F56" s="167">
        <v>170</v>
      </c>
      <c r="G56" s="171">
        <v>473</v>
      </c>
      <c r="H56" s="171">
        <v>0</v>
      </c>
      <c r="I56" s="172">
        <v>0</v>
      </c>
      <c r="J56" s="173">
        <v>0</v>
      </c>
      <c r="K56" s="154">
        <f>SUM(IncomeSummary[[#This Row],[TITHE]:[ANNUAL HARVEST]])</f>
        <v>1206.5</v>
      </c>
    </row>
    <row r="57" spans="1:11" ht="15" hidden="1" customHeight="1" x14ac:dyDescent="0.25">
      <c r="A57" s="166">
        <f t="shared" si="0"/>
        <v>44590</v>
      </c>
      <c r="B57" s="167">
        <v>293</v>
      </c>
      <c r="C57" s="168">
        <v>131</v>
      </c>
      <c r="D57" s="169">
        <v>45</v>
      </c>
      <c r="E57" s="170">
        <v>74</v>
      </c>
      <c r="F57" s="167">
        <v>210</v>
      </c>
      <c r="G57" s="171">
        <v>108</v>
      </c>
      <c r="H57" s="171">
        <v>0</v>
      </c>
      <c r="I57" s="172">
        <v>0</v>
      </c>
      <c r="J57" s="173">
        <v>0</v>
      </c>
      <c r="K57" s="154">
        <f>SUM(IncomeSummary[[#This Row],[TITHE]:[ANNUAL HARVEST]])</f>
        <v>861</v>
      </c>
    </row>
    <row r="58" spans="1:11" ht="15" hidden="1" customHeight="1" x14ac:dyDescent="0.25">
      <c r="A58" s="166">
        <f t="shared" si="0"/>
        <v>44597</v>
      </c>
      <c r="B58" s="167">
        <v>226</v>
      </c>
      <c r="C58" s="168">
        <v>143</v>
      </c>
      <c r="D58" s="169">
        <v>50</v>
      </c>
      <c r="E58" s="170">
        <v>102</v>
      </c>
      <c r="F58" s="167">
        <v>231</v>
      </c>
      <c r="G58" s="171">
        <v>299</v>
      </c>
      <c r="H58" s="171">
        <v>0</v>
      </c>
      <c r="I58" s="172">
        <v>0</v>
      </c>
      <c r="J58" s="173">
        <v>0</v>
      </c>
      <c r="K58" s="154">
        <f>SUM(IncomeSummary[[#This Row],[TITHE]:[ANNUAL HARVEST]])</f>
        <v>1051</v>
      </c>
    </row>
    <row r="59" spans="1:11" ht="15" hidden="1" customHeight="1" x14ac:dyDescent="0.25">
      <c r="A59" s="166">
        <f t="shared" si="0"/>
        <v>44604</v>
      </c>
      <c r="B59" s="167">
        <v>203</v>
      </c>
      <c r="C59" s="168">
        <v>61</v>
      </c>
      <c r="D59" s="169">
        <v>15</v>
      </c>
      <c r="E59" s="170">
        <v>50</v>
      </c>
      <c r="F59" s="167">
        <v>111</v>
      </c>
      <c r="G59" s="171">
        <v>145</v>
      </c>
      <c r="H59" s="171">
        <v>0</v>
      </c>
      <c r="I59" s="172">
        <v>0</v>
      </c>
      <c r="J59" s="173">
        <v>0</v>
      </c>
      <c r="K59" s="154">
        <f>SUM(IncomeSummary[[#This Row],[TITHE]:[ANNUAL HARVEST]])</f>
        <v>585</v>
      </c>
    </row>
    <row r="60" spans="1:11" ht="15" hidden="1" customHeight="1" x14ac:dyDescent="0.25">
      <c r="A60" s="166">
        <f t="shared" si="0"/>
        <v>44611</v>
      </c>
      <c r="B60" s="167">
        <v>336</v>
      </c>
      <c r="C60" s="168">
        <v>226</v>
      </c>
      <c r="D60" s="169">
        <v>10</v>
      </c>
      <c r="E60" s="170">
        <v>37</v>
      </c>
      <c r="F60" s="167">
        <v>72</v>
      </c>
      <c r="G60" s="171">
        <v>354</v>
      </c>
      <c r="H60" s="171">
        <v>0</v>
      </c>
      <c r="I60" s="172">
        <v>0</v>
      </c>
      <c r="J60" s="173">
        <v>0</v>
      </c>
      <c r="K60" s="154">
        <f>SUM(IncomeSummary[[#This Row],[TITHE]:[ANNUAL HARVEST]])</f>
        <v>1035</v>
      </c>
    </row>
    <row r="61" spans="1:11" ht="15" hidden="1" customHeight="1" x14ac:dyDescent="0.25">
      <c r="A61" s="166">
        <f t="shared" si="0"/>
        <v>44618</v>
      </c>
      <c r="B61" s="167">
        <v>327</v>
      </c>
      <c r="C61" s="168">
        <v>233</v>
      </c>
      <c r="D61" s="169">
        <v>40</v>
      </c>
      <c r="E61" s="170">
        <v>21</v>
      </c>
      <c r="F61" s="167">
        <v>175</v>
      </c>
      <c r="G61" s="171">
        <v>404</v>
      </c>
      <c r="H61" s="171">
        <v>0</v>
      </c>
      <c r="I61" s="172">
        <v>0</v>
      </c>
      <c r="J61" s="173">
        <v>0</v>
      </c>
      <c r="K61" s="154">
        <f>SUM(IncomeSummary[[#This Row],[TITHE]:[ANNUAL HARVEST]])</f>
        <v>1200</v>
      </c>
    </row>
    <row r="62" spans="1:11" ht="15" hidden="1" customHeight="1" x14ac:dyDescent="0.25">
      <c r="A62" s="166">
        <f t="shared" si="0"/>
        <v>44625</v>
      </c>
      <c r="B62" s="167">
        <v>328</v>
      </c>
      <c r="C62" s="168">
        <v>201</v>
      </c>
      <c r="D62" s="169">
        <v>54</v>
      </c>
      <c r="E62" s="170">
        <v>46</v>
      </c>
      <c r="F62" s="167">
        <v>200</v>
      </c>
      <c r="G62" s="171">
        <v>456</v>
      </c>
      <c r="H62" s="171">
        <v>133</v>
      </c>
      <c r="I62" s="172">
        <v>0</v>
      </c>
      <c r="J62" s="173">
        <v>0</v>
      </c>
      <c r="K62" s="154">
        <f>SUM(IncomeSummary[[#This Row],[TITHE]:[ANNUAL HARVEST]])</f>
        <v>1418</v>
      </c>
    </row>
    <row r="63" spans="1:11" ht="15" hidden="1" customHeight="1" x14ac:dyDescent="0.25">
      <c r="A63" s="166">
        <f t="shared" si="0"/>
        <v>44632</v>
      </c>
      <c r="B63" s="167">
        <v>0</v>
      </c>
      <c r="C63" s="168">
        <v>0</v>
      </c>
      <c r="D63" s="169">
        <v>0</v>
      </c>
      <c r="E63" s="170">
        <v>0</v>
      </c>
      <c r="F63" s="167">
        <v>0</v>
      </c>
      <c r="G63" s="171">
        <v>0</v>
      </c>
      <c r="H63" s="171">
        <v>0</v>
      </c>
      <c r="I63" s="172">
        <v>0</v>
      </c>
      <c r="J63" s="173">
        <v>0</v>
      </c>
      <c r="K63" s="154">
        <f>SUM(IncomeSummary[[#This Row],[TITHE]:[ANNUAL HARVEST]])</f>
        <v>0</v>
      </c>
    </row>
    <row r="64" spans="1:11" ht="15" hidden="1" customHeight="1" x14ac:dyDescent="0.25">
      <c r="A64" s="166">
        <f t="shared" si="0"/>
        <v>44639</v>
      </c>
      <c r="B64" s="167">
        <v>384</v>
      </c>
      <c r="C64" s="168">
        <v>271</v>
      </c>
      <c r="D64" s="169">
        <v>105</v>
      </c>
      <c r="E64" s="170">
        <v>92</v>
      </c>
      <c r="F64" s="167">
        <v>231</v>
      </c>
      <c r="G64" s="171">
        <v>528</v>
      </c>
      <c r="H64" s="171">
        <v>0</v>
      </c>
      <c r="I64" s="172">
        <v>0</v>
      </c>
      <c r="J64" s="173">
        <v>0</v>
      </c>
      <c r="K64" s="154">
        <f>SUM(IncomeSummary[[#This Row],[TITHE]:[ANNUAL HARVEST]])</f>
        <v>1611</v>
      </c>
    </row>
    <row r="65" spans="1:11" ht="15" hidden="1" customHeight="1" x14ac:dyDescent="0.25">
      <c r="A65" s="166">
        <f t="shared" si="0"/>
        <v>44646</v>
      </c>
      <c r="B65" s="167">
        <v>311</v>
      </c>
      <c r="C65" s="174">
        <v>193</v>
      </c>
      <c r="D65" s="169">
        <v>50</v>
      </c>
      <c r="E65" s="170">
        <v>60</v>
      </c>
      <c r="F65" s="167">
        <v>182</v>
      </c>
      <c r="G65" s="171">
        <v>250</v>
      </c>
      <c r="H65" s="171">
        <v>1000</v>
      </c>
      <c r="I65" s="172">
        <v>0</v>
      </c>
      <c r="J65" s="173">
        <v>0</v>
      </c>
      <c r="K65" s="154">
        <f>SUM(IncomeSummary[[#This Row],[TITHE]:[ANNUAL HARVEST]])</f>
        <v>2046</v>
      </c>
    </row>
    <row r="66" spans="1:11" ht="15" hidden="1" customHeight="1" x14ac:dyDescent="0.25">
      <c r="A66" s="166">
        <f t="shared" si="0"/>
        <v>44653</v>
      </c>
      <c r="B66" s="167">
        <v>247</v>
      </c>
      <c r="C66" s="168">
        <v>179</v>
      </c>
      <c r="D66" s="169">
        <v>17</v>
      </c>
      <c r="E66" s="170">
        <v>76</v>
      </c>
      <c r="F66" s="167">
        <v>177.5</v>
      </c>
      <c r="G66" s="171">
        <v>445</v>
      </c>
      <c r="H66" s="171">
        <v>0</v>
      </c>
      <c r="I66" s="172">
        <v>0</v>
      </c>
      <c r="J66" s="173">
        <v>0</v>
      </c>
      <c r="K66" s="155">
        <f>SUM(IncomeSummary[[#This Row],[TITHE]:[ANNUAL HARVEST]])</f>
        <v>1141.5</v>
      </c>
    </row>
    <row r="67" spans="1:11" ht="15" hidden="1" customHeight="1" x14ac:dyDescent="0.25">
      <c r="A67" s="166">
        <f t="shared" si="0"/>
        <v>44660</v>
      </c>
      <c r="B67" s="167">
        <v>151</v>
      </c>
      <c r="C67" s="168">
        <v>128</v>
      </c>
      <c r="D67" s="169">
        <v>0</v>
      </c>
      <c r="E67" s="170">
        <v>61</v>
      </c>
      <c r="F67" s="167">
        <v>121.2</v>
      </c>
      <c r="G67" s="171">
        <v>301</v>
      </c>
      <c r="H67" s="171">
        <v>90</v>
      </c>
      <c r="I67" s="172">
        <v>0</v>
      </c>
      <c r="J67" s="173">
        <v>0</v>
      </c>
      <c r="K67" s="155">
        <f>SUM(IncomeSummary[[#This Row],[TITHE]:[ANNUAL HARVEST]])</f>
        <v>852.2</v>
      </c>
    </row>
    <row r="68" spans="1:11" ht="15" hidden="1" customHeight="1" x14ac:dyDescent="0.25">
      <c r="A68" s="166">
        <f t="shared" si="0"/>
        <v>44667</v>
      </c>
      <c r="B68" s="167">
        <v>223</v>
      </c>
      <c r="C68" s="168">
        <v>203</v>
      </c>
      <c r="D68" s="169">
        <v>30</v>
      </c>
      <c r="E68" s="170">
        <v>84</v>
      </c>
      <c r="F68" s="167">
        <v>421</v>
      </c>
      <c r="G68" s="171">
        <v>261</v>
      </c>
      <c r="H68" s="171">
        <v>0</v>
      </c>
      <c r="I68" s="172">
        <v>0</v>
      </c>
      <c r="J68" s="173">
        <v>0</v>
      </c>
      <c r="K68" s="155">
        <f>SUM(IncomeSummary[[#This Row],[TITHE]:[ANNUAL HARVEST]])</f>
        <v>1222</v>
      </c>
    </row>
    <row r="69" spans="1:11" ht="15" hidden="1" customHeight="1" x14ac:dyDescent="0.25">
      <c r="A69" s="166">
        <f t="shared" ref="A69:A105" si="1">DATE(YEAR(A68),MONTH(A68),DAY(A68)+7)</f>
        <v>44674</v>
      </c>
      <c r="B69" s="167">
        <v>208</v>
      </c>
      <c r="C69" s="168">
        <v>77</v>
      </c>
      <c r="D69" s="169">
        <v>15</v>
      </c>
      <c r="E69" s="170">
        <v>0</v>
      </c>
      <c r="F69" s="167">
        <v>91.7</v>
      </c>
      <c r="G69" s="171">
        <v>676</v>
      </c>
      <c r="H69" s="171">
        <v>153</v>
      </c>
      <c r="I69" s="172">
        <v>0</v>
      </c>
      <c r="J69" s="173">
        <v>0</v>
      </c>
      <c r="K69" s="155">
        <f>SUM(IncomeSummary[[#This Row],[TITHE]:[ANNUAL HARVEST]])</f>
        <v>1220.7</v>
      </c>
    </row>
    <row r="70" spans="1:11" ht="15" hidden="1" customHeight="1" x14ac:dyDescent="0.25">
      <c r="A70" s="166">
        <f t="shared" si="1"/>
        <v>44681</v>
      </c>
      <c r="B70" s="167">
        <v>311</v>
      </c>
      <c r="C70" s="168">
        <v>237</v>
      </c>
      <c r="D70" s="169">
        <v>50</v>
      </c>
      <c r="E70" s="170">
        <v>123</v>
      </c>
      <c r="F70" s="167">
        <v>400</v>
      </c>
      <c r="G70" s="171">
        <v>692</v>
      </c>
      <c r="H70" s="171">
        <v>0</v>
      </c>
      <c r="I70" s="172">
        <v>0</v>
      </c>
      <c r="J70" s="173">
        <v>0</v>
      </c>
      <c r="K70" s="155">
        <f>SUM(IncomeSummary[[#This Row],[TITHE]:[ANNUAL HARVEST]])</f>
        <v>1813</v>
      </c>
    </row>
    <row r="71" spans="1:11" ht="15" hidden="1" customHeight="1" x14ac:dyDescent="0.25">
      <c r="A71" s="166">
        <f t="shared" si="1"/>
        <v>44688</v>
      </c>
      <c r="B71" s="167">
        <v>282</v>
      </c>
      <c r="C71" s="168">
        <v>176</v>
      </c>
      <c r="D71" s="169">
        <v>50</v>
      </c>
      <c r="E71" s="170">
        <v>74</v>
      </c>
      <c r="F71" s="167">
        <v>254</v>
      </c>
      <c r="G71" s="171">
        <v>463</v>
      </c>
      <c r="H71" s="171">
        <v>6187.26</v>
      </c>
      <c r="I71" s="172">
        <v>0</v>
      </c>
      <c r="J71" s="173">
        <v>0</v>
      </c>
      <c r="K71" s="155">
        <f>SUM(IncomeSummary[[#This Row],[TITHE]:[ANNUAL HARVEST]])</f>
        <v>7486.26</v>
      </c>
    </row>
    <row r="72" spans="1:11" ht="15" hidden="1" customHeight="1" x14ac:dyDescent="0.25">
      <c r="A72" s="166">
        <f t="shared" si="1"/>
        <v>44695</v>
      </c>
      <c r="B72" s="167">
        <v>540</v>
      </c>
      <c r="C72" s="168">
        <v>375</v>
      </c>
      <c r="D72" s="169">
        <v>10</v>
      </c>
      <c r="E72" s="170">
        <v>40</v>
      </c>
      <c r="F72" s="167">
        <v>142</v>
      </c>
      <c r="G72" s="171">
        <v>172</v>
      </c>
      <c r="H72" s="171">
        <v>40</v>
      </c>
      <c r="I72" s="172">
        <v>0</v>
      </c>
      <c r="J72" s="173">
        <v>0</v>
      </c>
      <c r="K72" s="155">
        <f>SUM(IncomeSummary[[#This Row],[TITHE]:[ANNUAL HARVEST]])</f>
        <v>1319</v>
      </c>
    </row>
    <row r="73" spans="1:11" ht="15" hidden="1" customHeight="1" x14ac:dyDescent="0.25">
      <c r="A73" s="166">
        <f t="shared" si="1"/>
        <v>44702</v>
      </c>
      <c r="B73" s="167">
        <v>215</v>
      </c>
      <c r="C73" s="168">
        <v>141</v>
      </c>
      <c r="D73" s="169">
        <v>5</v>
      </c>
      <c r="E73" s="170">
        <v>30</v>
      </c>
      <c r="F73" s="167">
        <v>271</v>
      </c>
      <c r="G73" s="171">
        <v>303</v>
      </c>
      <c r="H73" s="171">
        <v>200</v>
      </c>
      <c r="I73" s="172">
        <v>0</v>
      </c>
      <c r="J73" s="173">
        <v>0</v>
      </c>
      <c r="K73" s="155">
        <f>SUM(IncomeSummary[[#This Row],[TITHE]:[ANNUAL HARVEST]])</f>
        <v>1165</v>
      </c>
    </row>
    <row r="74" spans="1:11" ht="15" hidden="1" customHeight="1" x14ac:dyDescent="0.25">
      <c r="A74" s="166">
        <f t="shared" si="1"/>
        <v>44709</v>
      </c>
      <c r="B74" s="167">
        <v>209</v>
      </c>
      <c r="C74" s="168">
        <v>121</v>
      </c>
      <c r="D74" s="169">
        <v>17</v>
      </c>
      <c r="E74" s="170">
        <v>42</v>
      </c>
      <c r="F74" s="167">
        <v>115.3</v>
      </c>
      <c r="G74" s="171">
        <v>185</v>
      </c>
      <c r="H74" s="171">
        <v>0</v>
      </c>
      <c r="I74" s="172">
        <v>0</v>
      </c>
      <c r="J74" s="173">
        <v>0</v>
      </c>
      <c r="K74" s="155">
        <f>SUM(IncomeSummary[[#This Row],[TITHE]:[ANNUAL HARVEST]])</f>
        <v>689.3</v>
      </c>
    </row>
    <row r="75" spans="1:11" ht="15" hidden="1" customHeight="1" x14ac:dyDescent="0.25">
      <c r="A75" s="166">
        <f t="shared" si="1"/>
        <v>44716</v>
      </c>
      <c r="B75" s="167">
        <v>302</v>
      </c>
      <c r="C75" s="168">
        <v>188</v>
      </c>
      <c r="D75" s="169">
        <v>135</v>
      </c>
      <c r="E75" s="170">
        <v>82</v>
      </c>
      <c r="F75" s="167">
        <v>418.3</v>
      </c>
      <c r="G75" s="171">
        <v>229</v>
      </c>
      <c r="H75" s="171">
        <v>260</v>
      </c>
      <c r="I75" s="172">
        <v>0</v>
      </c>
      <c r="J75" s="173">
        <v>0</v>
      </c>
      <c r="K75" s="155">
        <f>SUM(IncomeSummary[[#This Row],[TITHE]:[ANNUAL HARVEST]])</f>
        <v>1614.3</v>
      </c>
    </row>
    <row r="76" spans="1:11" ht="15" hidden="1" customHeight="1" x14ac:dyDescent="0.25">
      <c r="A76" s="166">
        <f t="shared" si="1"/>
        <v>44723</v>
      </c>
      <c r="B76" s="167">
        <v>155</v>
      </c>
      <c r="C76" s="168">
        <v>113</v>
      </c>
      <c r="D76" s="169">
        <v>35</v>
      </c>
      <c r="E76" s="170">
        <v>44</v>
      </c>
      <c r="F76" s="167">
        <v>101.8</v>
      </c>
      <c r="G76" s="171">
        <v>285</v>
      </c>
      <c r="H76" s="171">
        <v>0</v>
      </c>
      <c r="I76" s="172">
        <v>0</v>
      </c>
      <c r="J76" s="173">
        <v>0</v>
      </c>
      <c r="K76" s="155">
        <f>SUM(IncomeSummary[[#This Row],[TITHE]:[ANNUAL HARVEST]])</f>
        <v>733.8</v>
      </c>
    </row>
    <row r="77" spans="1:11" ht="15" hidden="1" customHeight="1" x14ac:dyDescent="0.25">
      <c r="A77" s="166">
        <f t="shared" si="1"/>
        <v>44730</v>
      </c>
      <c r="B77" s="167">
        <v>433</v>
      </c>
      <c r="C77" s="168">
        <v>178</v>
      </c>
      <c r="D77" s="169">
        <v>10</v>
      </c>
      <c r="E77" s="170">
        <v>30</v>
      </c>
      <c r="F77" s="167">
        <v>132.30000000000001</v>
      </c>
      <c r="G77" s="171">
        <v>274</v>
      </c>
      <c r="H77" s="171">
        <v>1950</v>
      </c>
      <c r="I77" s="172">
        <v>0</v>
      </c>
      <c r="J77" s="173">
        <v>0</v>
      </c>
      <c r="K77" s="155">
        <f>SUM(IncomeSummary[[#This Row],[TITHE]:[ANNUAL HARVEST]])</f>
        <v>3007.3</v>
      </c>
    </row>
    <row r="78" spans="1:11" ht="15" hidden="1" customHeight="1" x14ac:dyDescent="0.25">
      <c r="A78" s="166">
        <f t="shared" si="1"/>
        <v>44737</v>
      </c>
      <c r="B78" s="167">
        <v>457</v>
      </c>
      <c r="C78" s="168">
        <v>171</v>
      </c>
      <c r="D78" s="169">
        <v>10</v>
      </c>
      <c r="E78" s="170">
        <v>25</v>
      </c>
      <c r="F78" s="167">
        <v>40.1</v>
      </c>
      <c r="G78" s="171">
        <v>173</v>
      </c>
      <c r="H78" s="171">
        <v>9220</v>
      </c>
      <c r="I78" s="172">
        <v>0</v>
      </c>
      <c r="J78" s="173">
        <v>0</v>
      </c>
      <c r="K78" s="155">
        <f>SUM(IncomeSummary[[#This Row],[TITHE]:[ANNUAL HARVEST]])</f>
        <v>10096.1</v>
      </c>
    </row>
    <row r="79" spans="1:11" ht="15" hidden="1" customHeight="1" x14ac:dyDescent="0.25">
      <c r="A79" s="166">
        <f t="shared" si="1"/>
        <v>44744</v>
      </c>
      <c r="B79" s="167">
        <v>330</v>
      </c>
      <c r="C79" s="168">
        <v>342</v>
      </c>
      <c r="D79" s="169">
        <v>20</v>
      </c>
      <c r="E79" s="170">
        <v>50</v>
      </c>
      <c r="F79" s="167">
        <v>118.4</v>
      </c>
      <c r="G79" s="171">
        <v>433</v>
      </c>
      <c r="H79" s="171">
        <v>30</v>
      </c>
      <c r="I79" s="172">
        <v>0</v>
      </c>
      <c r="J79" s="173">
        <v>0</v>
      </c>
      <c r="K79" s="155">
        <f>SUM(IncomeSummary[[#This Row],[TITHE]:[ANNUAL HARVEST]])</f>
        <v>1323.4</v>
      </c>
    </row>
    <row r="80" spans="1:11" ht="15" hidden="1" customHeight="1" x14ac:dyDescent="0.25">
      <c r="A80" s="166">
        <f t="shared" si="1"/>
        <v>44751</v>
      </c>
      <c r="B80" s="167">
        <v>222</v>
      </c>
      <c r="C80" s="168">
        <v>132</v>
      </c>
      <c r="D80" s="169">
        <v>15</v>
      </c>
      <c r="E80" s="170">
        <v>30</v>
      </c>
      <c r="F80" s="167">
        <v>103.8</v>
      </c>
      <c r="G80" s="171">
        <v>225</v>
      </c>
      <c r="H80" s="171">
        <v>0</v>
      </c>
      <c r="I80" s="172">
        <v>0</v>
      </c>
      <c r="J80" s="173">
        <v>0</v>
      </c>
      <c r="K80" s="155">
        <f>SUM(IncomeSummary[[#This Row],[TITHE]:[ANNUAL HARVEST]])</f>
        <v>727.8</v>
      </c>
    </row>
    <row r="81" spans="1:11" ht="15" hidden="1" customHeight="1" x14ac:dyDescent="0.25">
      <c r="A81" s="166">
        <f t="shared" si="1"/>
        <v>44758</v>
      </c>
      <c r="B81" s="167">
        <v>213</v>
      </c>
      <c r="C81" s="168">
        <v>98</v>
      </c>
      <c r="D81" s="169">
        <v>10</v>
      </c>
      <c r="E81" s="170">
        <v>35</v>
      </c>
      <c r="F81" s="167">
        <v>114</v>
      </c>
      <c r="G81" s="171">
        <v>91</v>
      </c>
      <c r="H81" s="171">
        <v>0</v>
      </c>
      <c r="I81" s="172">
        <v>0</v>
      </c>
      <c r="J81" s="173">
        <v>0</v>
      </c>
      <c r="K81" s="155">
        <f>SUM(IncomeSummary[[#This Row],[TITHE]:[ANNUAL HARVEST]])</f>
        <v>561</v>
      </c>
    </row>
    <row r="82" spans="1:11" ht="15" hidden="1" customHeight="1" x14ac:dyDescent="0.25">
      <c r="A82" s="166">
        <f t="shared" si="1"/>
        <v>44765</v>
      </c>
      <c r="B82" s="167">
        <v>493</v>
      </c>
      <c r="C82" s="168">
        <v>254</v>
      </c>
      <c r="D82" s="169">
        <v>50</v>
      </c>
      <c r="E82" s="170">
        <v>55</v>
      </c>
      <c r="F82" s="167">
        <v>178</v>
      </c>
      <c r="G82" s="171">
        <v>180</v>
      </c>
      <c r="H82" s="171">
        <v>0</v>
      </c>
      <c r="I82" s="172">
        <v>0</v>
      </c>
      <c r="J82" s="173">
        <v>0</v>
      </c>
      <c r="K82" s="155">
        <f>SUM(IncomeSummary[[#This Row],[TITHE]:[ANNUAL HARVEST]])</f>
        <v>1210</v>
      </c>
    </row>
    <row r="83" spans="1:11" ht="15" hidden="1" customHeight="1" x14ac:dyDescent="0.25">
      <c r="A83" s="166">
        <f t="shared" si="1"/>
        <v>44772</v>
      </c>
      <c r="B83" s="167">
        <v>499</v>
      </c>
      <c r="C83" s="168">
        <v>241</v>
      </c>
      <c r="D83" s="169">
        <v>20</v>
      </c>
      <c r="E83" s="170">
        <v>60</v>
      </c>
      <c r="F83" s="167">
        <v>227.7</v>
      </c>
      <c r="G83" s="171">
        <v>262</v>
      </c>
      <c r="H83" s="171">
        <v>3080</v>
      </c>
      <c r="I83" s="172">
        <v>0</v>
      </c>
      <c r="J83" s="173">
        <v>0</v>
      </c>
      <c r="K83" s="155">
        <f>SUM(IncomeSummary[[#This Row],[TITHE]:[ANNUAL HARVEST]])</f>
        <v>4389.7</v>
      </c>
    </row>
    <row r="84" spans="1:11" ht="15" hidden="1" customHeight="1" x14ac:dyDescent="0.25">
      <c r="A84" s="166">
        <f t="shared" si="1"/>
        <v>44779</v>
      </c>
      <c r="B84" s="167">
        <v>185</v>
      </c>
      <c r="C84" s="168">
        <v>145</v>
      </c>
      <c r="D84" s="169">
        <v>30</v>
      </c>
      <c r="E84" s="170">
        <v>56</v>
      </c>
      <c r="F84" s="167">
        <v>123.7</v>
      </c>
      <c r="G84" s="171">
        <v>110</v>
      </c>
      <c r="H84" s="171">
        <v>0</v>
      </c>
      <c r="I84" s="172">
        <v>0</v>
      </c>
      <c r="J84" s="173">
        <v>0</v>
      </c>
      <c r="K84" s="155">
        <f>SUM(IncomeSummary[[#This Row],[TITHE]:[ANNUAL HARVEST]])</f>
        <v>649.70000000000005</v>
      </c>
    </row>
    <row r="85" spans="1:11" ht="15" hidden="1" customHeight="1" x14ac:dyDescent="0.25">
      <c r="A85" s="166">
        <f t="shared" si="1"/>
        <v>44786</v>
      </c>
      <c r="B85" s="167">
        <v>256</v>
      </c>
      <c r="C85" s="168">
        <v>208</v>
      </c>
      <c r="D85" s="169">
        <v>20</v>
      </c>
      <c r="E85" s="170">
        <v>30</v>
      </c>
      <c r="F85" s="167">
        <v>138.69999999999999</v>
      </c>
      <c r="G85" s="171">
        <v>118</v>
      </c>
      <c r="H85" s="171">
        <v>0</v>
      </c>
      <c r="I85" s="172">
        <v>0</v>
      </c>
      <c r="J85" s="173">
        <v>0</v>
      </c>
      <c r="K85" s="155">
        <f>SUM(IncomeSummary[[#This Row],[TITHE]:[ANNUAL HARVEST]])</f>
        <v>770.7</v>
      </c>
    </row>
    <row r="86" spans="1:11" ht="15" hidden="1" customHeight="1" x14ac:dyDescent="0.25">
      <c r="A86" s="166">
        <f t="shared" si="1"/>
        <v>44793</v>
      </c>
      <c r="B86" s="167">
        <v>256</v>
      </c>
      <c r="C86" s="168">
        <v>210</v>
      </c>
      <c r="D86" s="169">
        <v>15</v>
      </c>
      <c r="E86" s="170">
        <v>42</v>
      </c>
      <c r="F86" s="167">
        <v>121</v>
      </c>
      <c r="G86" s="171">
        <v>95</v>
      </c>
      <c r="H86" s="171">
        <v>0</v>
      </c>
      <c r="I86" s="172">
        <v>0</v>
      </c>
      <c r="J86" s="173">
        <v>0</v>
      </c>
      <c r="K86" s="155">
        <f>SUM(IncomeSummary[[#This Row],[TITHE]:[ANNUAL HARVEST]])</f>
        <v>739</v>
      </c>
    </row>
    <row r="87" spans="1:11" ht="15" hidden="1" customHeight="1" x14ac:dyDescent="0.25">
      <c r="A87" s="166">
        <f t="shared" si="1"/>
        <v>44800</v>
      </c>
      <c r="B87" s="167">
        <v>202</v>
      </c>
      <c r="C87" s="168">
        <v>105</v>
      </c>
      <c r="D87" s="169">
        <v>0</v>
      </c>
      <c r="E87" s="170">
        <v>0</v>
      </c>
      <c r="F87" s="167">
        <v>32</v>
      </c>
      <c r="G87" s="171">
        <v>120</v>
      </c>
      <c r="H87" s="171">
        <v>3600</v>
      </c>
      <c r="I87" s="172">
        <v>0</v>
      </c>
      <c r="J87" s="173">
        <v>0</v>
      </c>
      <c r="K87" s="155">
        <f>SUM(IncomeSummary[[#This Row],[TITHE]:[ANNUAL HARVEST]])</f>
        <v>4059</v>
      </c>
    </row>
    <row r="88" spans="1:11" ht="15" hidden="1" customHeight="1" x14ac:dyDescent="0.25">
      <c r="A88" s="166">
        <f t="shared" si="1"/>
        <v>44807</v>
      </c>
      <c r="B88" s="167">
        <v>0</v>
      </c>
      <c r="C88" s="168">
        <v>0</v>
      </c>
      <c r="D88" s="169">
        <v>0</v>
      </c>
      <c r="E88" s="170">
        <v>0</v>
      </c>
      <c r="F88" s="167">
        <v>0</v>
      </c>
      <c r="G88" s="171">
        <v>0</v>
      </c>
      <c r="H88" s="171">
        <v>0</v>
      </c>
      <c r="I88" s="172">
        <v>0</v>
      </c>
      <c r="J88" s="173">
        <v>0</v>
      </c>
      <c r="K88" s="155">
        <f>SUM(IncomeSummary[[#This Row],[TITHE]:[ANNUAL HARVEST]])</f>
        <v>0</v>
      </c>
    </row>
    <row r="89" spans="1:11" ht="15" hidden="1" customHeight="1" x14ac:dyDescent="0.25">
      <c r="A89" s="166">
        <f t="shared" si="1"/>
        <v>44814</v>
      </c>
      <c r="B89" s="167">
        <v>133</v>
      </c>
      <c r="C89" s="168">
        <v>90</v>
      </c>
      <c r="D89" s="169">
        <v>50</v>
      </c>
      <c r="E89" s="170">
        <v>63</v>
      </c>
      <c r="F89" s="167">
        <v>290</v>
      </c>
      <c r="G89" s="171">
        <v>200</v>
      </c>
      <c r="H89" s="171">
        <v>0</v>
      </c>
      <c r="I89" s="172">
        <v>0</v>
      </c>
      <c r="J89" s="173">
        <v>0</v>
      </c>
      <c r="K89" s="155">
        <f>SUM(IncomeSummary[[#This Row],[TITHE]:[ANNUAL HARVEST]])</f>
        <v>826</v>
      </c>
    </row>
    <row r="90" spans="1:11" ht="15" hidden="1" customHeight="1" x14ac:dyDescent="0.25">
      <c r="A90" s="166">
        <f t="shared" si="1"/>
        <v>44821</v>
      </c>
      <c r="B90" s="167">
        <v>363</v>
      </c>
      <c r="C90" s="168">
        <v>312</v>
      </c>
      <c r="D90" s="169">
        <v>30</v>
      </c>
      <c r="E90" s="170">
        <v>45</v>
      </c>
      <c r="F90" s="167">
        <v>79</v>
      </c>
      <c r="G90" s="171">
        <v>294</v>
      </c>
      <c r="H90" s="171">
        <v>0</v>
      </c>
      <c r="I90" s="172">
        <v>0</v>
      </c>
      <c r="J90" s="173">
        <v>0</v>
      </c>
      <c r="K90" s="155">
        <f>SUM(IncomeSummary[[#This Row],[TITHE]:[ANNUAL HARVEST]])</f>
        <v>1123</v>
      </c>
    </row>
    <row r="91" spans="1:11" ht="15" hidden="1" customHeight="1" x14ac:dyDescent="0.25">
      <c r="A91" s="166">
        <f t="shared" si="1"/>
        <v>44828</v>
      </c>
      <c r="B91" s="167">
        <v>224</v>
      </c>
      <c r="C91" s="168">
        <v>189</v>
      </c>
      <c r="D91" s="169"/>
      <c r="E91" s="170">
        <v>55</v>
      </c>
      <c r="F91" s="167">
        <v>300.60000000000002</v>
      </c>
      <c r="G91" s="171">
        <v>220</v>
      </c>
      <c r="H91" s="171">
        <v>40</v>
      </c>
      <c r="I91" s="172">
        <v>0</v>
      </c>
      <c r="J91" s="173">
        <v>0</v>
      </c>
      <c r="K91" s="155">
        <f>SUM(IncomeSummary[[#This Row],[TITHE]:[ANNUAL HARVEST]])</f>
        <v>1028.5999999999999</v>
      </c>
    </row>
    <row r="92" spans="1:11" ht="15" hidden="1" customHeight="1" x14ac:dyDescent="0.25">
      <c r="A92" s="166">
        <f t="shared" si="1"/>
        <v>44835</v>
      </c>
      <c r="B92" s="167">
        <v>135</v>
      </c>
      <c r="C92" s="168">
        <v>111</v>
      </c>
      <c r="D92" s="169">
        <v>58</v>
      </c>
      <c r="E92" s="170">
        <v>70</v>
      </c>
      <c r="F92" s="167">
        <v>145.69999999999999</v>
      </c>
      <c r="G92" s="171">
        <v>289</v>
      </c>
      <c r="H92" s="171">
        <v>390</v>
      </c>
      <c r="I92" s="172">
        <v>0</v>
      </c>
      <c r="J92" s="173">
        <v>0</v>
      </c>
      <c r="K92" s="155">
        <f>SUM(IncomeSummary[[#This Row],[TITHE]:[ANNUAL HARVEST]])</f>
        <v>1198.7</v>
      </c>
    </row>
    <row r="93" spans="1:11" ht="15" hidden="1" customHeight="1" x14ac:dyDescent="0.25">
      <c r="A93" s="166">
        <f t="shared" si="1"/>
        <v>44842</v>
      </c>
      <c r="B93" s="167">
        <v>319</v>
      </c>
      <c r="C93" s="168">
        <v>185</v>
      </c>
      <c r="D93" s="169">
        <v>0</v>
      </c>
      <c r="E93" s="170">
        <v>0</v>
      </c>
      <c r="F93" s="167">
        <v>73</v>
      </c>
      <c r="G93" s="171">
        <v>105</v>
      </c>
      <c r="H93" s="171">
        <v>407</v>
      </c>
      <c r="I93" s="172">
        <v>0</v>
      </c>
      <c r="J93" s="173">
        <v>0</v>
      </c>
      <c r="K93" s="155">
        <f>SUM(IncomeSummary[[#This Row],[TITHE]:[ANNUAL HARVEST]])</f>
        <v>1089</v>
      </c>
    </row>
    <row r="94" spans="1:11" ht="15" hidden="1" customHeight="1" x14ac:dyDescent="0.25">
      <c r="A94" s="166">
        <f t="shared" si="1"/>
        <v>44849</v>
      </c>
      <c r="B94" s="167">
        <v>430</v>
      </c>
      <c r="C94" s="168">
        <v>221</v>
      </c>
      <c r="D94" s="169">
        <v>40</v>
      </c>
      <c r="E94" s="170">
        <v>46</v>
      </c>
      <c r="F94" s="167">
        <v>434.1</v>
      </c>
      <c r="G94" s="171">
        <v>110</v>
      </c>
      <c r="H94" s="171">
        <v>0</v>
      </c>
      <c r="I94" s="172">
        <v>0</v>
      </c>
      <c r="J94" s="173">
        <v>0</v>
      </c>
      <c r="K94" s="155">
        <f>SUM(IncomeSummary[[#This Row],[TITHE]:[ANNUAL HARVEST]])</f>
        <v>1281.0999999999999</v>
      </c>
    </row>
    <row r="95" spans="1:11" ht="15" hidden="1" customHeight="1" x14ac:dyDescent="0.25">
      <c r="A95" s="166">
        <f t="shared" si="1"/>
        <v>44856</v>
      </c>
      <c r="B95" s="167">
        <v>311</v>
      </c>
      <c r="C95" s="168">
        <v>205</v>
      </c>
      <c r="D95" s="169">
        <v>25</v>
      </c>
      <c r="E95" s="170">
        <v>40</v>
      </c>
      <c r="F95" s="167">
        <v>124</v>
      </c>
      <c r="G95" s="171">
        <v>235</v>
      </c>
      <c r="H95" s="171">
        <v>0</v>
      </c>
      <c r="I95" s="172">
        <v>0</v>
      </c>
      <c r="J95" s="173">
        <v>0</v>
      </c>
      <c r="K95" s="155">
        <f>SUM(IncomeSummary[[#This Row],[TITHE]:[ANNUAL HARVEST]])</f>
        <v>940</v>
      </c>
    </row>
    <row r="96" spans="1:11" ht="15" hidden="1" customHeight="1" x14ac:dyDescent="0.25">
      <c r="A96" s="166">
        <f t="shared" si="1"/>
        <v>44863</v>
      </c>
      <c r="B96" s="167">
        <v>212</v>
      </c>
      <c r="C96" s="168">
        <v>225</v>
      </c>
      <c r="D96" s="169">
        <v>15</v>
      </c>
      <c r="E96" s="170">
        <v>30</v>
      </c>
      <c r="F96" s="167">
        <v>251.9</v>
      </c>
      <c r="G96" s="171">
        <v>60</v>
      </c>
      <c r="H96" s="171">
        <v>0</v>
      </c>
      <c r="I96" s="172">
        <v>0</v>
      </c>
      <c r="J96" s="173">
        <v>0</v>
      </c>
      <c r="K96" s="155">
        <f>SUM(IncomeSummary[[#This Row],[TITHE]:[ANNUAL HARVEST]])</f>
        <v>793.9</v>
      </c>
    </row>
    <row r="97" spans="1:19" ht="15" hidden="1" customHeight="1" x14ac:dyDescent="0.25">
      <c r="A97" s="166">
        <f t="shared" si="1"/>
        <v>44870</v>
      </c>
      <c r="B97" s="167">
        <v>150</v>
      </c>
      <c r="C97" s="168">
        <v>138</v>
      </c>
      <c r="D97" s="169">
        <v>12</v>
      </c>
      <c r="E97" s="170">
        <v>0</v>
      </c>
      <c r="F97" s="167">
        <v>32</v>
      </c>
      <c r="G97" s="171">
        <v>160</v>
      </c>
      <c r="H97" s="171">
        <v>4970.5</v>
      </c>
      <c r="I97" s="172">
        <v>0</v>
      </c>
      <c r="J97" s="173">
        <v>0</v>
      </c>
      <c r="K97" s="155">
        <f>SUM(IncomeSummary[[#This Row],[TITHE]:[ANNUAL HARVEST]])</f>
        <v>5462.5</v>
      </c>
    </row>
    <row r="98" spans="1:19" ht="15" hidden="1" customHeight="1" x14ac:dyDescent="0.25">
      <c r="A98" s="166">
        <f t="shared" si="1"/>
        <v>44877</v>
      </c>
      <c r="B98" s="167">
        <v>209</v>
      </c>
      <c r="C98" s="168">
        <v>152</v>
      </c>
      <c r="D98" s="169">
        <v>5</v>
      </c>
      <c r="E98" s="170">
        <v>50.5</v>
      </c>
      <c r="F98" s="167">
        <v>147</v>
      </c>
      <c r="G98" s="171">
        <v>270</v>
      </c>
      <c r="H98" s="171">
        <v>720</v>
      </c>
      <c r="I98" s="172">
        <v>0</v>
      </c>
      <c r="J98" s="173">
        <v>0</v>
      </c>
      <c r="K98" s="155">
        <f>SUM(IncomeSummary[[#This Row],[TITHE]:[ANNUAL HARVEST]])</f>
        <v>1553.5</v>
      </c>
    </row>
    <row r="99" spans="1:19" ht="15" hidden="1" customHeight="1" x14ac:dyDescent="0.25">
      <c r="A99" s="166">
        <f t="shared" si="1"/>
        <v>44884</v>
      </c>
      <c r="B99" s="167">
        <v>181</v>
      </c>
      <c r="C99" s="168">
        <v>188</v>
      </c>
      <c r="D99" s="169">
        <v>35</v>
      </c>
      <c r="E99" s="170">
        <v>52</v>
      </c>
      <c r="F99" s="167">
        <v>101.5</v>
      </c>
      <c r="G99" s="171">
        <v>270</v>
      </c>
      <c r="H99" s="171">
        <v>0</v>
      </c>
      <c r="I99" s="172">
        <v>0</v>
      </c>
      <c r="J99" s="173">
        <v>0</v>
      </c>
      <c r="K99" s="155">
        <f>SUM(IncomeSummary[[#This Row],[TITHE]:[ANNUAL HARVEST]])</f>
        <v>827.5</v>
      </c>
    </row>
    <row r="100" spans="1:19" ht="15" hidden="1" customHeight="1" x14ac:dyDescent="0.25">
      <c r="A100" s="166">
        <f t="shared" si="1"/>
        <v>44891</v>
      </c>
      <c r="B100" s="167">
        <v>516</v>
      </c>
      <c r="C100" s="168">
        <v>209</v>
      </c>
      <c r="D100" s="169">
        <v>60</v>
      </c>
      <c r="E100" s="170">
        <v>150</v>
      </c>
      <c r="F100" s="167">
        <v>373.2</v>
      </c>
      <c r="G100" s="171">
        <v>660</v>
      </c>
      <c r="H100" s="171">
        <v>1365</v>
      </c>
      <c r="I100" s="172">
        <v>0</v>
      </c>
      <c r="J100" s="173">
        <v>0</v>
      </c>
      <c r="K100" s="155">
        <f>SUM(IncomeSummary[[#This Row],[TITHE]:[ANNUAL HARVEST]])</f>
        <v>3333.2</v>
      </c>
    </row>
    <row r="101" spans="1:19" ht="15" hidden="1" customHeight="1" x14ac:dyDescent="0.25">
      <c r="A101" s="166">
        <f t="shared" si="1"/>
        <v>44898</v>
      </c>
      <c r="B101" s="167">
        <v>338</v>
      </c>
      <c r="C101" s="168">
        <v>185</v>
      </c>
      <c r="D101" s="169">
        <v>60</v>
      </c>
      <c r="E101" s="170">
        <v>190</v>
      </c>
      <c r="F101" s="167">
        <v>272.8</v>
      </c>
      <c r="G101" s="171">
        <v>473</v>
      </c>
      <c r="H101" s="171">
        <v>120</v>
      </c>
      <c r="I101" s="172">
        <v>0</v>
      </c>
      <c r="J101" s="173">
        <v>0</v>
      </c>
      <c r="K101" s="155">
        <f>SUM(IncomeSummary[[#This Row],[TITHE]:[ANNUAL HARVEST]])</f>
        <v>1638.8</v>
      </c>
    </row>
    <row r="102" spans="1:19" ht="15" hidden="1" customHeight="1" x14ac:dyDescent="0.25">
      <c r="A102" s="166">
        <f t="shared" si="1"/>
        <v>44905</v>
      </c>
      <c r="B102" s="167">
        <v>150</v>
      </c>
      <c r="C102" s="168">
        <v>145</v>
      </c>
      <c r="D102" s="169">
        <v>40</v>
      </c>
      <c r="E102" s="170">
        <v>65</v>
      </c>
      <c r="F102" s="167">
        <v>196.4</v>
      </c>
      <c r="G102" s="171">
        <v>347</v>
      </c>
      <c r="H102" s="171">
        <v>440</v>
      </c>
      <c r="I102" s="172">
        <v>0</v>
      </c>
      <c r="J102" s="173">
        <v>0</v>
      </c>
      <c r="K102" s="155">
        <f>SUM(IncomeSummary[[#This Row],[TITHE]:[ANNUAL HARVEST]])</f>
        <v>1383.4</v>
      </c>
    </row>
    <row r="103" spans="1:19" ht="15" hidden="1" customHeight="1" x14ac:dyDescent="0.25">
      <c r="A103" s="166">
        <f t="shared" si="1"/>
        <v>44912</v>
      </c>
      <c r="B103" s="167">
        <v>310</v>
      </c>
      <c r="C103" s="168">
        <v>248</v>
      </c>
      <c r="D103" s="169">
        <v>30</v>
      </c>
      <c r="E103" s="170">
        <v>0</v>
      </c>
      <c r="F103" s="167">
        <v>118</v>
      </c>
      <c r="G103" s="171">
        <v>450</v>
      </c>
      <c r="H103" s="171">
        <v>0</v>
      </c>
      <c r="I103" s="172">
        <v>0</v>
      </c>
      <c r="J103" s="173">
        <v>0</v>
      </c>
      <c r="K103" s="155">
        <f>SUM(IncomeSummary[[#This Row],[TITHE]:[ANNUAL HARVEST]])</f>
        <v>1156</v>
      </c>
    </row>
    <row r="104" spans="1:19" ht="15" hidden="1" customHeight="1" x14ac:dyDescent="0.25">
      <c r="A104" s="166">
        <f t="shared" si="1"/>
        <v>44919</v>
      </c>
      <c r="B104" s="167">
        <v>356</v>
      </c>
      <c r="C104" s="168">
        <v>264</v>
      </c>
      <c r="D104" s="169">
        <v>25</v>
      </c>
      <c r="E104" s="170">
        <v>55</v>
      </c>
      <c r="F104" s="167">
        <v>138.69999999999999</v>
      </c>
      <c r="G104" s="171">
        <v>255</v>
      </c>
      <c r="H104" s="171">
        <v>0</v>
      </c>
      <c r="I104" s="172">
        <v>0</v>
      </c>
      <c r="J104" s="173">
        <v>17390</v>
      </c>
      <c r="K104" s="155">
        <f>SUM(IncomeSummary[[#This Row],[TITHE]:[ANNUAL HARVEST]])</f>
        <v>18483.7</v>
      </c>
    </row>
    <row r="105" spans="1:19" ht="15" hidden="1" customHeight="1" x14ac:dyDescent="0.25">
      <c r="A105" s="166">
        <f t="shared" si="1"/>
        <v>44926</v>
      </c>
      <c r="B105" s="167">
        <v>234</v>
      </c>
      <c r="C105" s="168">
        <v>164</v>
      </c>
      <c r="D105" s="169">
        <v>100</v>
      </c>
      <c r="E105" s="170">
        <v>50</v>
      </c>
      <c r="F105" s="167">
        <v>147.19999999999999</v>
      </c>
      <c r="G105" s="171">
        <v>240</v>
      </c>
      <c r="H105" s="171">
        <v>32025</v>
      </c>
      <c r="I105" s="172">
        <v>0</v>
      </c>
      <c r="J105" s="173">
        <v>0</v>
      </c>
      <c r="K105" s="155">
        <f>SUM(IncomeSummary[[#This Row],[TITHE]:[ANNUAL HARVEST]])</f>
        <v>32960.199999999997</v>
      </c>
    </row>
    <row r="106" spans="1:19" x14ac:dyDescent="0.25">
      <c r="A106" s="116" t="s">
        <v>20</v>
      </c>
      <c r="B106" s="117">
        <f>SUBTOTAL(109,IncomeSummary[TITHE])</f>
        <v>1589</v>
      </c>
      <c r="C106" s="117">
        <f>SUBTOTAL(109,IncomeSummary[SYSTEMATIC OFFERING])</f>
        <v>678</v>
      </c>
      <c r="D106" s="117">
        <f>SUBTOTAL(109,IncomeSummary[THANKS OFFERING])</f>
        <v>155</v>
      </c>
      <c r="E106" s="117">
        <f>SUBTOTAL(109,IncomeSummary[LOOSE OFFERING])</f>
        <v>224.5</v>
      </c>
      <c r="F106" s="117">
        <f>SUBTOTAL(109,IncomeSummary[SABBATH SCHOOL OFFERING])</f>
        <v>574.1</v>
      </c>
      <c r="G106" s="117">
        <f>SUBTOTAL(109,IncomeSummary[WELFARE])</f>
        <v>532</v>
      </c>
      <c r="H106" s="117">
        <f>SUBTOTAL(109,IncomeSummary[OTHERS])</f>
        <v>2272</v>
      </c>
      <c r="I106" s="117">
        <f>SUBTOTAL(109,IncomeSummary[[ BIBLE SOCIETY HARVEST]])</f>
        <v>0</v>
      </c>
      <c r="J106" s="117">
        <f>SUBTOTAL(109,IncomeSummary[ANNUAL HARVEST])</f>
        <v>0</v>
      </c>
      <c r="K106" s="117">
        <f>SUBTOTAL(109,IncomeSummary[TOTAL])</f>
        <v>6024.6</v>
      </c>
    </row>
    <row r="111" spans="1:19" x14ac:dyDescent="0.25">
      <c r="A111" s="67"/>
      <c r="B111" s="76"/>
      <c r="C111" s="76"/>
      <c r="D111" s="260" t="s">
        <v>1</v>
      </c>
      <c r="E111" s="260"/>
      <c r="F111" s="260"/>
      <c r="G111" s="261" t="s">
        <v>2</v>
      </c>
      <c r="H111" s="261"/>
      <c r="I111" s="261"/>
      <c r="J111" s="262" t="s">
        <v>3</v>
      </c>
      <c r="K111" s="262"/>
      <c r="L111" s="262"/>
      <c r="M111" s="263" t="s">
        <v>8</v>
      </c>
      <c r="N111" s="263"/>
      <c r="O111" s="263"/>
      <c r="P111" s="264" t="s">
        <v>6</v>
      </c>
      <c r="Q111" s="264"/>
      <c r="R111" s="264"/>
      <c r="S111" s="156"/>
    </row>
    <row r="112" spans="1:19" x14ac:dyDescent="0.25">
      <c r="A112" s="67" t="s">
        <v>80</v>
      </c>
      <c r="B112" s="68" t="s">
        <v>7</v>
      </c>
      <c r="C112" s="139" t="s">
        <v>0</v>
      </c>
      <c r="D112" s="69" t="s">
        <v>9</v>
      </c>
      <c r="E112" s="69" t="s">
        <v>10</v>
      </c>
      <c r="F112" s="69" t="s">
        <v>11</v>
      </c>
      <c r="G112" s="70" t="s">
        <v>165</v>
      </c>
      <c r="H112" s="70" t="s">
        <v>166</v>
      </c>
      <c r="I112" s="70" t="s">
        <v>167</v>
      </c>
      <c r="J112" s="71" t="s">
        <v>168</v>
      </c>
      <c r="K112" s="71" t="s">
        <v>169</v>
      </c>
      <c r="L112" s="71" t="s">
        <v>170</v>
      </c>
      <c r="M112" s="72" t="s">
        <v>12</v>
      </c>
      <c r="N112" s="72" t="s">
        <v>13</v>
      </c>
      <c r="O112" s="72" t="s">
        <v>14</v>
      </c>
      <c r="P112" s="73" t="s">
        <v>15</v>
      </c>
      <c r="Q112" s="73" t="s">
        <v>171</v>
      </c>
      <c r="R112" s="73" t="s">
        <v>16</v>
      </c>
      <c r="S112" s="74" t="s">
        <v>17</v>
      </c>
    </row>
    <row r="113" spans="1:19" hidden="1" x14ac:dyDescent="0.25">
      <c r="A113" s="67"/>
      <c r="B113" s="68"/>
      <c r="C113" s="157"/>
      <c r="D113" s="158" t="s">
        <v>9</v>
      </c>
      <c r="E113" s="159" t="s">
        <v>10</v>
      </c>
      <c r="F113" s="160" t="s">
        <v>11</v>
      </c>
      <c r="G113" s="158" t="s">
        <v>9</v>
      </c>
      <c r="H113" s="160" t="s">
        <v>11</v>
      </c>
      <c r="I113" s="159" t="s">
        <v>10</v>
      </c>
      <c r="J113" s="158" t="s">
        <v>9</v>
      </c>
      <c r="K113" s="159" t="s">
        <v>10</v>
      </c>
      <c r="L113" s="160" t="s">
        <v>11</v>
      </c>
      <c r="M113" s="161" t="s">
        <v>18</v>
      </c>
      <c r="N113" s="159" t="s">
        <v>19</v>
      </c>
      <c r="O113" s="73" t="s">
        <v>180</v>
      </c>
      <c r="P113" s="162">
        <v>0</v>
      </c>
      <c r="Q113" s="163">
        <v>0</v>
      </c>
      <c r="R113" s="164">
        <v>0</v>
      </c>
      <c r="S113" s="165"/>
    </row>
    <row r="114" spans="1:19" x14ac:dyDescent="0.25">
      <c r="A114" s="75">
        <v>44205</v>
      </c>
      <c r="B114" s="76">
        <f t="shared" ref="B114:B145" si="2">K2</f>
        <v>1149.3</v>
      </c>
      <c r="C114" s="77">
        <f t="shared" ref="C114:C145" si="3">B2</f>
        <v>225</v>
      </c>
      <c r="D114" s="78">
        <f t="shared" ref="D114:D145" si="4">0.4*C2</f>
        <v>57.6</v>
      </c>
      <c r="E114" s="79">
        <f t="shared" ref="E114:E145" si="5">0.1*C2</f>
        <v>14.4</v>
      </c>
      <c r="F114" s="80">
        <f t="shared" ref="F114:F145" si="6">0.5*C2</f>
        <v>72</v>
      </c>
      <c r="G114" s="78">
        <f t="shared" ref="G114:G145" si="7">0.4*D2</f>
        <v>14</v>
      </c>
      <c r="H114" s="80">
        <f t="shared" ref="H114:H145" si="8">0.5*D2</f>
        <v>17.5</v>
      </c>
      <c r="I114" s="79">
        <f t="shared" ref="I114:I145" si="9">0.1*D2</f>
        <v>3.5</v>
      </c>
      <c r="J114" s="78">
        <f t="shared" ref="J114:J145" si="10">0.4*E2</f>
        <v>16.2</v>
      </c>
      <c r="K114" s="79">
        <f t="shared" ref="K114:K145" si="11">0.1*E2</f>
        <v>4.05</v>
      </c>
      <c r="L114" s="80">
        <f t="shared" ref="L114:L145" si="12">0.5*E2</f>
        <v>20.25</v>
      </c>
      <c r="M114" s="81">
        <f t="shared" ref="M114:M145" si="13">PRODUCT(I2*(1/3))</f>
        <v>0</v>
      </c>
      <c r="N114" s="79">
        <f t="shared" ref="N114:N145" si="14">PRODUCT(I2*(1/3))</f>
        <v>0</v>
      </c>
      <c r="O114" s="80">
        <f t="shared" ref="O114:O145" si="15">PRODUCT(I2*(1/3))</f>
        <v>0</v>
      </c>
      <c r="P114" s="81">
        <f t="shared" ref="P114:P145" si="16">J2*0.1</f>
        <v>0</v>
      </c>
      <c r="Q114" s="79">
        <f t="shared" ref="Q114:Q145" si="17">J2*0.1</f>
        <v>0</v>
      </c>
      <c r="R114" s="80">
        <f t="shared" ref="R114:R145" si="18">J2*0.8</f>
        <v>0</v>
      </c>
      <c r="S114" s="82">
        <f t="shared" ref="S114:S145" si="19">SUM(F2:H2)</f>
        <v>704.8</v>
      </c>
    </row>
    <row r="115" spans="1:19" x14ac:dyDescent="0.25">
      <c r="A115" s="75">
        <f>DATE(YEAR(A114),MONTH(A114),DAY(A114)+7)</f>
        <v>44212</v>
      </c>
      <c r="B115" s="76">
        <f t="shared" si="2"/>
        <v>1013.8</v>
      </c>
      <c r="C115" s="77">
        <f t="shared" si="3"/>
        <v>262</v>
      </c>
      <c r="D115" s="78">
        <f t="shared" si="4"/>
        <v>78.800000000000011</v>
      </c>
      <c r="E115" s="79">
        <f t="shared" si="5"/>
        <v>19.700000000000003</v>
      </c>
      <c r="F115" s="80">
        <f t="shared" si="6"/>
        <v>98.5</v>
      </c>
      <c r="G115" s="78">
        <f t="shared" si="7"/>
        <v>28</v>
      </c>
      <c r="H115" s="80">
        <f t="shared" si="8"/>
        <v>35</v>
      </c>
      <c r="I115" s="79">
        <f t="shared" si="9"/>
        <v>7</v>
      </c>
      <c r="J115" s="78">
        <f t="shared" si="10"/>
        <v>26</v>
      </c>
      <c r="K115" s="79">
        <f t="shared" si="11"/>
        <v>6.5</v>
      </c>
      <c r="L115" s="80">
        <f t="shared" si="12"/>
        <v>32.5</v>
      </c>
      <c r="M115" s="81">
        <f t="shared" si="13"/>
        <v>0</v>
      </c>
      <c r="N115" s="79">
        <f t="shared" si="14"/>
        <v>0</v>
      </c>
      <c r="O115" s="80">
        <f t="shared" si="15"/>
        <v>0</v>
      </c>
      <c r="P115" s="81">
        <f t="shared" si="16"/>
        <v>0</v>
      </c>
      <c r="Q115" s="79">
        <f t="shared" si="17"/>
        <v>0</v>
      </c>
      <c r="R115" s="80">
        <f t="shared" si="18"/>
        <v>0</v>
      </c>
      <c r="S115" s="82">
        <f t="shared" si="19"/>
        <v>419.8</v>
      </c>
    </row>
    <row r="116" spans="1:19" x14ac:dyDescent="0.25">
      <c r="A116" s="75">
        <f>DATE(YEAR(A115),MONTH(A115),DAY(A115)+7)</f>
        <v>44219</v>
      </c>
      <c r="B116" s="76">
        <f t="shared" si="2"/>
        <v>1437.5</v>
      </c>
      <c r="C116" s="77">
        <f t="shared" si="3"/>
        <v>376</v>
      </c>
      <c r="D116" s="78">
        <f t="shared" si="4"/>
        <v>78.400000000000006</v>
      </c>
      <c r="E116" s="79">
        <f t="shared" si="5"/>
        <v>19.600000000000001</v>
      </c>
      <c r="F116" s="80">
        <f t="shared" si="6"/>
        <v>98</v>
      </c>
      <c r="G116" s="78">
        <f t="shared" si="7"/>
        <v>20</v>
      </c>
      <c r="H116" s="80">
        <f t="shared" si="8"/>
        <v>25</v>
      </c>
      <c r="I116" s="79">
        <f t="shared" si="9"/>
        <v>5</v>
      </c>
      <c r="J116" s="78">
        <f t="shared" si="10"/>
        <v>40</v>
      </c>
      <c r="K116" s="79">
        <f t="shared" si="11"/>
        <v>10</v>
      </c>
      <c r="L116" s="80">
        <f t="shared" si="12"/>
        <v>50</v>
      </c>
      <c r="M116" s="81">
        <f t="shared" si="13"/>
        <v>0</v>
      </c>
      <c r="N116" s="79">
        <f t="shared" si="14"/>
        <v>0</v>
      </c>
      <c r="O116" s="80">
        <f t="shared" si="15"/>
        <v>0</v>
      </c>
      <c r="P116" s="81">
        <f t="shared" si="16"/>
        <v>0</v>
      </c>
      <c r="Q116" s="79">
        <f t="shared" si="17"/>
        <v>0</v>
      </c>
      <c r="R116" s="80">
        <f t="shared" si="18"/>
        <v>0</v>
      </c>
      <c r="S116" s="82">
        <f t="shared" si="19"/>
        <v>715.5</v>
      </c>
    </row>
    <row r="117" spans="1:19" x14ac:dyDescent="0.25">
      <c r="A117" s="75">
        <f t="shared" ref="A117:A165" si="20">DATE(YEAR(A116),MONTH(A116),DAY(A116)+7)</f>
        <v>44226</v>
      </c>
      <c r="B117" s="76">
        <f t="shared" si="2"/>
        <v>2424</v>
      </c>
      <c r="C117" s="77">
        <f t="shared" si="3"/>
        <v>726</v>
      </c>
      <c r="D117" s="78">
        <f t="shared" si="4"/>
        <v>56.400000000000006</v>
      </c>
      <c r="E117" s="79">
        <f t="shared" si="5"/>
        <v>14.100000000000001</v>
      </c>
      <c r="F117" s="80">
        <f t="shared" si="6"/>
        <v>70.5</v>
      </c>
      <c r="G117" s="78">
        <f t="shared" si="7"/>
        <v>0</v>
      </c>
      <c r="H117" s="80">
        <f t="shared" si="8"/>
        <v>0</v>
      </c>
      <c r="I117" s="79">
        <f t="shared" si="9"/>
        <v>0</v>
      </c>
      <c r="J117" s="78">
        <f t="shared" si="10"/>
        <v>7.6000000000000005</v>
      </c>
      <c r="K117" s="79">
        <f t="shared" si="11"/>
        <v>1.9000000000000001</v>
      </c>
      <c r="L117" s="80">
        <f t="shared" si="12"/>
        <v>9.5</v>
      </c>
      <c r="M117" s="81">
        <f t="shared" si="13"/>
        <v>0</v>
      </c>
      <c r="N117" s="79">
        <f t="shared" si="14"/>
        <v>0</v>
      </c>
      <c r="O117" s="80">
        <f t="shared" si="15"/>
        <v>0</v>
      </c>
      <c r="P117" s="81">
        <f t="shared" si="16"/>
        <v>0</v>
      </c>
      <c r="Q117" s="79">
        <f t="shared" si="17"/>
        <v>0</v>
      </c>
      <c r="R117" s="80">
        <f t="shared" si="18"/>
        <v>0</v>
      </c>
      <c r="S117" s="82">
        <f t="shared" si="19"/>
        <v>1538</v>
      </c>
    </row>
    <row r="118" spans="1:19" hidden="1" x14ac:dyDescent="0.25">
      <c r="A118" s="75">
        <f t="shared" si="20"/>
        <v>44233</v>
      </c>
      <c r="B118" s="76">
        <f t="shared" si="2"/>
        <v>811</v>
      </c>
      <c r="C118" s="77">
        <f t="shared" si="3"/>
        <v>302</v>
      </c>
      <c r="D118" s="78">
        <f t="shared" si="4"/>
        <v>75.2</v>
      </c>
      <c r="E118" s="79">
        <f t="shared" si="5"/>
        <v>18.8</v>
      </c>
      <c r="F118" s="80">
        <f t="shared" si="6"/>
        <v>94</v>
      </c>
      <c r="G118" s="78">
        <f t="shared" si="7"/>
        <v>28</v>
      </c>
      <c r="H118" s="80">
        <f t="shared" si="8"/>
        <v>35</v>
      </c>
      <c r="I118" s="79">
        <f t="shared" si="9"/>
        <v>7</v>
      </c>
      <c r="J118" s="78">
        <f t="shared" si="10"/>
        <v>20</v>
      </c>
      <c r="K118" s="79">
        <f t="shared" si="11"/>
        <v>5</v>
      </c>
      <c r="L118" s="80">
        <f t="shared" si="12"/>
        <v>25</v>
      </c>
      <c r="M118" s="81">
        <f t="shared" si="13"/>
        <v>0</v>
      </c>
      <c r="N118" s="79">
        <f t="shared" si="14"/>
        <v>0</v>
      </c>
      <c r="O118" s="80">
        <f t="shared" si="15"/>
        <v>0</v>
      </c>
      <c r="P118" s="81">
        <f t="shared" si="16"/>
        <v>0</v>
      </c>
      <c r="Q118" s="79">
        <f t="shared" si="17"/>
        <v>0</v>
      </c>
      <c r="R118" s="80">
        <f t="shared" si="18"/>
        <v>0</v>
      </c>
      <c r="S118" s="82">
        <f t="shared" si="19"/>
        <v>201</v>
      </c>
    </row>
    <row r="119" spans="1:19" hidden="1" x14ac:dyDescent="0.25">
      <c r="A119" s="75">
        <f t="shared" si="20"/>
        <v>44240</v>
      </c>
      <c r="B119" s="76">
        <f t="shared" si="2"/>
        <v>439.4</v>
      </c>
      <c r="C119" s="77">
        <f t="shared" si="3"/>
        <v>176</v>
      </c>
      <c r="D119" s="78">
        <f t="shared" si="4"/>
        <v>66.400000000000006</v>
      </c>
      <c r="E119" s="79">
        <f t="shared" si="5"/>
        <v>16.600000000000001</v>
      </c>
      <c r="F119" s="80">
        <f t="shared" si="6"/>
        <v>83</v>
      </c>
      <c r="G119" s="78">
        <f t="shared" si="7"/>
        <v>2.8000000000000003</v>
      </c>
      <c r="H119" s="80">
        <f t="shared" si="8"/>
        <v>3.5</v>
      </c>
      <c r="I119" s="79">
        <f t="shared" si="9"/>
        <v>0.70000000000000007</v>
      </c>
      <c r="J119" s="78">
        <f t="shared" si="10"/>
        <v>18.400000000000002</v>
      </c>
      <c r="K119" s="79">
        <f t="shared" si="11"/>
        <v>4.6000000000000005</v>
      </c>
      <c r="L119" s="80">
        <f t="shared" si="12"/>
        <v>23</v>
      </c>
      <c r="M119" s="81">
        <f t="shared" si="13"/>
        <v>0</v>
      </c>
      <c r="N119" s="79">
        <f t="shared" si="14"/>
        <v>0</v>
      </c>
      <c r="O119" s="80">
        <f t="shared" si="15"/>
        <v>0</v>
      </c>
      <c r="P119" s="81">
        <f t="shared" si="16"/>
        <v>0</v>
      </c>
      <c r="Q119" s="79">
        <f t="shared" si="17"/>
        <v>0</v>
      </c>
      <c r="R119" s="80">
        <f t="shared" si="18"/>
        <v>0</v>
      </c>
      <c r="S119" s="82">
        <f t="shared" si="19"/>
        <v>44.4</v>
      </c>
    </row>
    <row r="120" spans="1:19" hidden="1" x14ac:dyDescent="0.25">
      <c r="A120" s="75">
        <f t="shared" si="20"/>
        <v>44247</v>
      </c>
      <c r="B120" s="76">
        <f t="shared" si="2"/>
        <v>1506</v>
      </c>
      <c r="C120" s="77">
        <f t="shared" si="3"/>
        <v>377</v>
      </c>
      <c r="D120" s="78">
        <f t="shared" si="4"/>
        <v>96.4</v>
      </c>
      <c r="E120" s="79">
        <f t="shared" si="5"/>
        <v>24.1</v>
      </c>
      <c r="F120" s="80">
        <f t="shared" si="6"/>
        <v>120.5</v>
      </c>
      <c r="G120" s="78">
        <f t="shared" si="7"/>
        <v>12</v>
      </c>
      <c r="H120" s="80">
        <f t="shared" si="8"/>
        <v>15</v>
      </c>
      <c r="I120" s="79">
        <f t="shared" si="9"/>
        <v>3</v>
      </c>
      <c r="J120" s="78">
        <f t="shared" si="10"/>
        <v>36</v>
      </c>
      <c r="K120" s="79">
        <f t="shared" si="11"/>
        <v>9</v>
      </c>
      <c r="L120" s="80">
        <f t="shared" si="12"/>
        <v>45</v>
      </c>
      <c r="M120" s="81">
        <f t="shared" si="13"/>
        <v>140</v>
      </c>
      <c r="N120" s="79">
        <f t="shared" si="14"/>
        <v>140</v>
      </c>
      <c r="O120" s="80">
        <f t="shared" si="15"/>
        <v>140</v>
      </c>
      <c r="P120" s="81">
        <f t="shared" si="16"/>
        <v>0</v>
      </c>
      <c r="Q120" s="79">
        <f t="shared" si="17"/>
        <v>0</v>
      </c>
      <c r="R120" s="80">
        <f t="shared" si="18"/>
        <v>0</v>
      </c>
      <c r="S120" s="82">
        <f t="shared" si="19"/>
        <v>348</v>
      </c>
    </row>
    <row r="121" spans="1:19" hidden="1" x14ac:dyDescent="0.25">
      <c r="A121" s="75">
        <f t="shared" si="20"/>
        <v>44254</v>
      </c>
      <c r="B121" s="76">
        <f t="shared" si="2"/>
        <v>1019.2</v>
      </c>
      <c r="C121" s="77">
        <f t="shared" si="3"/>
        <v>420</v>
      </c>
      <c r="D121" s="78">
        <f t="shared" si="4"/>
        <v>90.4</v>
      </c>
      <c r="E121" s="79">
        <f t="shared" si="5"/>
        <v>22.6</v>
      </c>
      <c r="F121" s="80">
        <f t="shared" si="6"/>
        <v>113</v>
      </c>
      <c r="G121" s="78">
        <f t="shared" si="7"/>
        <v>20</v>
      </c>
      <c r="H121" s="80">
        <f t="shared" si="8"/>
        <v>25</v>
      </c>
      <c r="I121" s="79">
        <f t="shared" si="9"/>
        <v>5</v>
      </c>
      <c r="J121" s="78">
        <f t="shared" si="10"/>
        <v>16</v>
      </c>
      <c r="K121" s="79">
        <f t="shared" si="11"/>
        <v>4</v>
      </c>
      <c r="L121" s="80">
        <f t="shared" si="12"/>
        <v>20</v>
      </c>
      <c r="M121" s="81">
        <f t="shared" si="13"/>
        <v>0</v>
      </c>
      <c r="N121" s="79">
        <f t="shared" si="14"/>
        <v>0</v>
      </c>
      <c r="O121" s="80">
        <f t="shared" si="15"/>
        <v>0</v>
      </c>
      <c r="P121" s="81">
        <f t="shared" si="16"/>
        <v>0</v>
      </c>
      <c r="Q121" s="79">
        <f t="shared" si="17"/>
        <v>0</v>
      </c>
      <c r="R121" s="80">
        <f t="shared" si="18"/>
        <v>0</v>
      </c>
      <c r="S121" s="82">
        <f t="shared" si="19"/>
        <v>283.2</v>
      </c>
    </row>
    <row r="122" spans="1:19" hidden="1" x14ac:dyDescent="0.25">
      <c r="A122" s="75">
        <f t="shared" si="20"/>
        <v>44261</v>
      </c>
      <c r="B122" s="76">
        <f t="shared" si="2"/>
        <v>1042</v>
      </c>
      <c r="C122" s="77">
        <f t="shared" si="3"/>
        <v>329</v>
      </c>
      <c r="D122" s="78">
        <f t="shared" si="4"/>
        <v>78</v>
      </c>
      <c r="E122" s="79">
        <f t="shared" si="5"/>
        <v>19.5</v>
      </c>
      <c r="F122" s="80">
        <f t="shared" si="6"/>
        <v>97.5</v>
      </c>
      <c r="G122" s="78">
        <f t="shared" si="7"/>
        <v>4</v>
      </c>
      <c r="H122" s="80">
        <f t="shared" si="8"/>
        <v>5</v>
      </c>
      <c r="I122" s="79">
        <f t="shared" si="9"/>
        <v>1</v>
      </c>
      <c r="J122" s="78">
        <f t="shared" si="10"/>
        <v>5.6000000000000005</v>
      </c>
      <c r="K122" s="79">
        <f t="shared" si="11"/>
        <v>1.4000000000000001</v>
      </c>
      <c r="L122" s="80">
        <f t="shared" si="12"/>
        <v>7</v>
      </c>
      <c r="M122" s="81">
        <f t="shared" si="13"/>
        <v>0</v>
      </c>
      <c r="N122" s="79">
        <f t="shared" si="14"/>
        <v>0</v>
      </c>
      <c r="O122" s="80">
        <f t="shared" si="15"/>
        <v>0</v>
      </c>
      <c r="P122" s="81">
        <f t="shared" si="16"/>
        <v>0</v>
      </c>
      <c r="Q122" s="79">
        <f t="shared" si="17"/>
        <v>0</v>
      </c>
      <c r="R122" s="80">
        <f t="shared" si="18"/>
        <v>0</v>
      </c>
      <c r="S122" s="82">
        <f t="shared" si="19"/>
        <v>494</v>
      </c>
    </row>
    <row r="123" spans="1:19" hidden="1" x14ac:dyDescent="0.25">
      <c r="A123" s="75">
        <f t="shared" si="20"/>
        <v>44268</v>
      </c>
      <c r="B123" s="76">
        <f t="shared" si="2"/>
        <v>1421</v>
      </c>
      <c r="C123" s="77">
        <f t="shared" si="3"/>
        <v>299</v>
      </c>
      <c r="D123" s="78">
        <f t="shared" si="4"/>
        <v>80.800000000000011</v>
      </c>
      <c r="E123" s="79">
        <f t="shared" si="5"/>
        <v>20.200000000000003</v>
      </c>
      <c r="F123" s="80">
        <f t="shared" si="6"/>
        <v>101</v>
      </c>
      <c r="G123" s="78">
        <f t="shared" si="7"/>
        <v>8</v>
      </c>
      <c r="H123" s="80">
        <f t="shared" si="8"/>
        <v>10</v>
      </c>
      <c r="I123" s="79">
        <f t="shared" si="9"/>
        <v>2</v>
      </c>
      <c r="J123" s="78">
        <f t="shared" si="10"/>
        <v>20</v>
      </c>
      <c r="K123" s="79">
        <f t="shared" si="11"/>
        <v>5</v>
      </c>
      <c r="L123" s="80">
        <f t="shared" si="12"/>
        <v>25</v>
      </c>
      <c r="M123" s="81">
        <f t="shared" si="13"/>
        <v>0</v>
      </c>
      <c r="N123" s="79">
        <f t="shared" si="14"/>
        <v>0</v>
      </c>
      <c r="O123" s="80">
        <f t="shared" si="15"/>
        <v>0</v>
      </c>
      <c r="P123" s="81">
        <f t="shared" si="16"/>
        <v>0</v>
      </c>
      <c r="Q123" s="79">
        <f t="shared" si="17"/>
        <v>0</v>
      </c>
      <c r="R123" s="80">
        <f t="shared" si="18"/>
        <v>0</v>
      </c>
      <c r="S123" s="82">
        <f t="shared" si="19"/>
        <v>850</v>
      </c>
    </row>
    <row r="124" spans="1:19" hidden="1" x14ac:dyDescent="0.25">
      <c r="A124" s="75">
        <f t="shared" si="20"/>
        <v>44275</v>
      </c>
      <c r="B124" s="76">
        <f t="shared" si="2"/>
        <v>476</v>
      </c>
      <c r="C124" s="77">
        <f t="shared" si="3"/>
        <v>191</v>
      </c>
      <c r="D124" s="78">
        <f t="shared" si="4"/>
        <v>46.800000000000004</v>
      </c>
      <c r="E124" s="79">
        <f t="shared" si="5"/>
        <v>11.700000000000001</v>
      </c>
      <c r="F124" s="80">
        <f t="shared" si="6"/>
        <v>58.5</v>
      </c>
      <c r="G124" s="78">
        <f t="shared" si="7"/>
        <v>8</v>
      </c>
      <c r="H124" s="80">
        <f t="shared" si="8"/>
        <v>10</v>
      </c>
      <c r="I124" s="79">
        <f t="shared" si="9"/>
        <v>2</v>
      </c>
      <c r="J124" s="78">
        <f t="shared" si="10"/>
        <v>12</v>
      </c>
      <c r="K124" s="79">
        <f t="shared" si="11"/>
        <v>3</v>
      </c>
      <c r="L124" s="80">
        <f t="shared" si="12"/>
        <v>15</v>
      </c>
      <c r="M124" s="81">
        <f t="shared" si="13"/>
        <v>0</v>
      </c>
      <c r="N124" s="79">
        <f t="shared" si="14"/>
        <v>0</v>
      </c>
      <c r="O124" s="80">
        <f t="shared" si="15"/>
        <v>0</v>
      </c>
      <c r="P124" s="81">
        <f t="shared" si="16"/>
        <v>0</v>
      </c>
      <c r="Q124" s="79">
        <f t="shared" si="17"/>
        <v>0</v>
      </c>
      <c r="R124" s="80">
        <f t="shared" si="18"/>
        <v>0</v>
      </c>
      <c r="S124" s="82">
        <f t="shared" si="19"/>
        <v>118</v>
      </c>
    </row>
    <row r="125" spans="1:19" hidden="1" x14ac:dyDescent="0.25">
      <c r="A125" s="75">
        <f t="shared" si="20"/>
        <v>44282</v>
      </c>
      <c r="B125" s="76">
        <f t="shared" si="2"/>
        <v>2275</v>
      </c>
      <c r="C125" s="77">
        <f t="shared" si="3"/>
        <v>669</v>
      </c>
      <c r="D125" s="78">
        <f t="shared" si="4"/>
        <v>71.2</v>
      </c>
      <c r="E125" s="79">
        <f t="shared" si="5"/>
        <v>17.8</v>
      </c>
      <c r="F125" s="80">
        <f t="shared" si="6"/>
        <v>89</v>
      </c>
      <c r="G125" s="78">
        <f t="shared" si="7"/>
        <v>18</v>
      </c>
      <c r="H125" s="80">
        <f t="shared" si="8"/>
        <v>22.5</v>
      </c>
      <c r="I125" s="79">
        <f t="shared" si="9"/>
        <v>4.5</v>
      </c>
      <c r="J125" s="78">
        <f t="shared" si="10"/>
        <v>8</v>
      </c>
      <c r="K125" s="79">
        <f t="shared" si="11"/>
        <v>2</v>
      </c>
      <c r="L125" s="80">
        <f t="shared" si="12"/>
        <v>10</v>
      </c>
      <c r="M125" s="81">
        <f t="shared" si="13"/>
        <v>0</v>
      </c>
      <c r="N125" s="79">
        <f t="shared" si="14"/>
        <v>0</v>
      </c>
      <c r="O125" s="80">
        <f t="shared" si="15"/>
        <v>0</v>
      </c>
      <c r="P125" s="81">
        <f t="shared" si="16"/>
        <v>0</v>
      </c>
      <c r="Q125" s="79">
        <f t="shared" si="17"/>
        <v>0</v>
      </c>
      <c r="R125" s="80">
        <f t="shared" si="18"/>
        <v>0</v>
      </c>
      <c r="S125" s="82">
        <f t="shared" si="19"/>
        <v>1363</v>
      </c>
    </row>
    <row r="126" spans="1:19" hidden="1" x14ac:dyDescent="0.25">
      <c r="A126" s="75">
        <f t="shared" si="20"/>
        <v>44289</v>
      </c>
      <c r="B126" s="76">
        <f t="shared" si="2"/>
        <v>773.4</v>
      </c>
      <c r="C126" s="77">
        <f t="shared" si="3"/>
        <v>283</v>
      </c>
      <c r="D126" s="78">
        <f t="shared" si="4"/>
        <v>89.2</v>
      </c>
      <c r="E126" s="79">
        <f t="shared" si="5"/>
        <v>22.3</v>
      </c>
      <c r="F126" s="80">
        <f t="shared" si="6"/>
        <v>111.5</v>
      </c>
      <c r="G126" s="78">
        <f t="shared" si="7"/>
        <v>6.8000000000000007</v>
      </c>
      <c r="H126" s="80">
        <f t="shared" si="8"/>
        <v>8.5</v>
      </c>
      <c r="I126" s="79">
        <f t="shared" si="9"/>
        <v>1.7000000000000002</v>
      </c>
      <c r="J126" s="78">
        <f t="shared" si="10"/>
        <v>20</v>
      </c>
      <c r="K126" s="79">
        <f t="shared" si="11"/>
        <v>5</v>
      </c>
      <c r="L126" s="80">
        <f t="shared" si="12"/>
        <v>25</v>
      </c>
      <c r="M126" s="81">
        <f t="shared" si="13"/>
        <v>0</v>
      </c>
      <c r="N126" s="79">
        <f t="shared" si="14"/>
        <v>0</v>
      </c>
      <c r="O126" s="80">
        <f t="shared" si="15"/>
        <v>0</v>
      </c>
      <c r="P126" s="81">
        <f t="shared" si="16"/>
        <v>0</v>
      </c>
      <c r="Q126" s="79">
        <f t="shared" si="17"/>
        <v>0</v>
      </c>
      <c r="R126" s="80">
        <f t="shared" si="18"/>
        <v>0</v>
      </c>
      <c r="S126" s="82">
        <f t="shared" si="19"/>
        <v>200.4</v>
      </c>
    </row>
    <row r="127" spans="1:19" hidden="1" x14ac:dyDescent="0.25">
      <c r="A127" s="75">
        <f t="shared" si="20"/>
        <v>44296</v>
      </c>
      <c r="B127" s="76">
        <f t="shared" si="2"/>
        <v>1160.5</v>
      </c>
      <c r="C127" s="77">
        <f t="shared" si="3"/>
        <v>600</v>
      </c>
      <c r="D127" s="78">
        <f t="shared" si="4"/>
        <v>120.4</v>
      </c>
      <c r="E127" s="79">
        <f t="shared" si="5"/>
        <v>30.1</v>
      </c>
      <c r="F127" s="80">
        <f t="shared" si="6"/>
        <v>150.5</v>
      </c>
      <c r="G127" s="78">
        <f t="shared" si="7"/>
        <v>10</v>
      </c>
      <c r="H127" s="80">
        <f t="shared" si="8"/>
        <v>12.5</v>
      </c>
      <c r="I127" s="79">
        <f t="shared" si="9"/>
        <v>2.5</v>
      </c>
      <c r="J127" s="78">
        <f t="shared" si="10"/>
        <v>27.200000000000003</v>
      </c>
      <c r="K127" s="79">
        <f t="shared" si="11"/>
        <v>6.8000000000000007</v>
      </c>
      <c r="L127" s="80">
        <f t="shared" si="12"/>
        <v>34</v>
      </c>
      <c r="M127" s="81">
        <f t="shared" si="13"/>
        <v>0</v>
      </c>
      <c r="N127" s="79">
        <f t="shared" si="14"/>
        <v>0</v>
      </c>
      <c r="O127" s="80">
        <f t="shared" si="15"/>
        <v>0</v>
      </c>
      <c r="P127" s="81">
        <f t="shared" si="16"/>
        <v>0</v>
      </c>
      <c r="Q127" s="79">
        <f t="shared" si="17"/>
        <v>0</v>
      </c>
      <c r="R127" s="80">
        <f t="shared" si="18"/>
        <v>0</v>
      </c>
      <c r="S127" s="82">
        <f t="shared" si="19"/>
        <v>166.5</v>
      </c>
    </row>
    <row r="128" spans="1:19" hidden="1" x14ac:dyDescent="0.25">
      <c r="A128" s="75">
        <f t="shared" si="20"/>
        <v>44303</v>
      </c>
      <c r="B128" s="76">
        <f t="shared" si="2"/>
        <v>2488</v>
      </c>
      <c r="C128" s="77">
        <f t="shared" si="3"/>
        <v>431</v>
      </c>
      <c r="D128" s="78">
        <f t="shared" si="4"/>
        <v>107.60000000000001</v>
      </c>
      <c r="E128" s="79">
        <f t="shared" si="5"/>
        <v>26.900000000000002</v>
      </c>
      <c r="F128" s="80">
        <f t="shared" si="6"/>
        <v>134.5</v>
      </c>
      <c r="G128" s="78">
        <f t="shared" si="7"/>
        <v>12</v>
      </c>
      <c r="H128" s="80">
        <f t="shared" si="8"/>
        <v>15</v>
      </c>
      <c r="I128" s="79">
        <f t="shared" si="9"/>
        <v>3</v>
      </c>
      <c r="J128" s="78">
        <f t="shared" si="10"/>
        <v>36</v>
      </c>
      <c r="K128" s="79">
        <f t="shared" si="11"/>
        <v>9</v>
      </c>
      <c r="L128" s="80">
        <f t="shared" si="12"/>
        <v>45</v>
      </c>
      <c r="M128" s="81">
        <f t="shared" si="13"/>
        <v>0</v>
      </c>
      <c r="N128" s="79">
        <f t="shared" si="14"/>
        <v>0</v>
      </c>
      <c r="O128" s="80">
        <f t="shared" si="15"/>
        <v>0</v>
      </c>
      <c r="P128" s="81">
        <f t="shared" si="16"/>
        <v>0</v>
      </c>
      <c r="Q128" s="79">
        <f t="shared" si="17"/>
        <v>0</v>
      </c>
      <c r="R128" s="80">
        <f t="shared" si="18"/>
        <v>0</v>
      </c>
      <c r="S128" s="82">
        <f t="shared" si="19"/>
        <v>1668</v>
      </c>
    </row>
    <row r="129" spans="1:19" hidden="1" x14ac:dyDescent="0.25">
      <c r="A129" s="75">
        <f t="shared" si="20"/>
        <v>44310</v>
      </c>
      <c r="B129" s="76">
        <f t="shared" si="2"/>
        <v>1462.5</v>
      </c>
      <c r="C129" s="77">
        <f t="shared" si="3"/>
        <v>175</v>
      </c>
      <c r="D129" s="78">
        <f t="shared" si="4"/>
        <v>36.800000000000004</v>
      </c>
      <c r="E129" s="79">
        <f t="shared" si="5"/>
        <v>9.2000000000000011</v>
      </c>
      <c r="F129" s="80">
        <f t="shared" si="6"/>
        <v>46</v>
      </c>
      <c r="G129" s="78">
        <f t="shared" si="7"/>
        <v>4.8000000000000007</v>
      </c>
      <c r="H129" s="80">
        <f t="shared" si="8"/>
        <v>6</v>
      </c>
      <c r="I129" s="79">
        <f t="shared" si="9"/>
        <v>1.2000000000000002</v>
      </c>
      <c r="J129" s="78">
        <f t="shared" si="10"/>
        <v>20</v>
      </c>
      <c r="K129" s="79">
        <f t="shared" si="11"/>
        <v>5</v>
      </c>
      <c r="L129" s="80">
        <f t="shared" si="12"/>
        <v>25</v>
      </c>
      <c r="M129" s="81">
        <f t="shared" si="13"/>
        <v>0</v>
      </c>
      <c r="N129" s="79">
        <f t="shared" si="14"/>
        <v>0</v>
      </c>
      <c r="O129" s="80">
        <f t="shared" si="15"/>
        <v>0</v>
      </c>
      <c r="P129" s="81">
        <f t="shared" si="16"/>
        <v>0</v>
      </c>
      <c r="Q129" s="79">
        <f t="shared" si="17"/>
        <v>0</v>
      </c>
      <c r="R129" s="80">
        <f t="shared" si="18"/>
        <v>0</v>
      </c>
      <c r="S129" s="82">
        <f t="shared" si="19"/>
        <v>1133.5</v>
      </c>
    </row>
    <row r="130" spans="1:19" hidden="1" x14ac:dyDescent="0.25">
      <c r="A130" s="75">
        <f t="shared" si="20"/>
        <v>44317</v>
      </c>
      <c r="B130" s="76">
        <f t="shared" si="2"/>
        <v>839.5</v>
      </c>
      <c r="C130" s="77">
        <f t="shared" si="3"/>
        <v>437</v>
      </c>
      <c r="D130" s="78">
        <f t="shared" si="4"/>
        <v>65.2</v>
      </c>
      <c r="E130" s="79">
        <f t="shared" si="5"/>
        <v>16.3</v>
      </c>
      <c r="F130" s="80">
        <f t="shared" si="6"/>
        <v>81.5</v>
      </c>
      <c r="G130" s="78">
        <f t="shared" si="7"/>
        <v>12</v>
      </c>
      <c r="H130" s="80">
        <f t="shared" si="8"/>
        <v>15</v>
      </c>
      <c r="I130" s="79">
        <f t="shared" si="9"/>
        <v>3</v>
      </c>
      <c r="J130" s="78">
        <f t="shared" si="10"/>
        <v>20</v>
      </c>
      <c r="K130" s="79">
        <f t="shared" si="11"/>
        <v>5</v>
      </c>
      <c r="L130" s="80">
        <f t="shared" si="12"/>
        <v>25</v>
      </c>
      <c r="M130" s="81">
        <f t="shared" si="13"/>
        <v>0</v>
      </c>
      <c r="N130" s="79">
        <f t="shared" si="14"/>
        <v>0</v>
      </c>
      <c r="O130" s="80">
        <f t="shared" si="15"/>
        <v>0</v>
      </c>
      <c r="P130" s="81">
        <f t="shared" si="16"/>
        <v>0</v>
      </c>
      <c r="Q130" s="79">
        <f t="shared" si="17"/>
        <v>0</v>
      </c>
      <c r="R130" s="80">
        <f t="shared" si="18"/>
        <v>0</v>
      </c>
      <c r="S130" s="82">
        <f t="shared" si="19"/>
        <v>159.5</v>
      </c>
    </row>
    <row r="131" spans="1:19" hidden="1" x14ac:dyDescent="0.25">
      <c r="A131" s="75">
        <f t="shared" si="20"/>
        <v>44324</v>
      </c>
      <c r="B131" s="76">
        <f t="shared" si="2"/>
        <v>682</v>
      </c>
      <c r="C131" s="77">
        <f t="shared" si="3"/>
        <v>205</v>
      </c>
      <c r="D131" s="78">
        <f t="shared" si="4"/>
        <v>34.800000000000004</v>
      </c>
      <c r="E131" s="79">
        <f t="shared" si="5"/>
        <v>8.7000000000000011</v>
      </c>
      <c r="F131" s="80">
        <f t="shared" si="6"/>
        <v>43.5</v>
      </c>
      <c r="G131" s="78">
        <f t="shared" si="7"/>
        <v>8</v>
      </c>
      <c r="H131" s="80">
        <f t="shared" si="8"/>
        <v>10</v>
      </c>
      <c r="I131" s="79">
        <f t="shared" si="9"/>
        <v>2</v>
      </c>
      <c r="J131" s="78">
        <f t="shared" si="10"/>
        <v>21.200000000000003</v>
      </c>
      <c r="K131" s="79">
        <f t="shared" si="11"/>
        <v>5.3000000000000007</v>
      </c>
      <c r="L131" s="80">
        <f t="shared" si="12"/>
        <v>26.5</v>
      </c>
      <c r="M131" s="81">
        <f t="shared" si="13"/>
        <v>0</v>
      </c>
      <c r="N131" s="79">
        <f t="shared" si="14"/>
        <v>0</v>
      </c>
      <c r="O131" s="80">
        <f t="shared" si="15"/>
        <v>0</v>
      </c>
      <c r="P131" s="81">
        <f t="shared" si="16"/>
        <v>0</v>
      </c>
      <c r="Q131" s="79">
        <f t="shared" si="17"/>
        <v>0</v>
      </c>
      <c r="R131" s="80">
        <f t="shared" si="18"/>
        <v>0</v>
      </c>
      <c r="S131" s="82">
        <f t="shared" si="19"/>
        <v>317</v>
      </c>
    </row>
    <row r="132" spans="1:19" hidden="1" x14ac:dyDescent="0.25">
      <c r="A132" s="75">
        <f t="shared" si="20"/>
        <v>44331</v>
      </c>
      <c r="B132" s="76">
        <f t="shared" si="2"/>
        <v>866.7</v>
      </c>
      <c r="C132" s="77">
        <f t="shared" si="3"/>
        <v>433</v>
      </c>
      <c r="D132" s="78">
        <f t="shared" si="4"/>
        <v>81.600000000000009</v>
      </c>
      <c r="E132" s="79">
        <f t="shared" si="5"/>
        <v>20.400000000000002</v>
      </c>
      <c r="F132" s="80">
        <f t="shared" si="6"/>
        <v>102</v>
      </c>
      <c r="G132" s="78">
        <f t="shared" si="7"/>
        <v>4</v>
      </c>
      <c r="H132" s="80">
        <f t="shared" si="8"/>
        <v>5</v>
      </c>
      <c r="I132" s="79">
        <f t="shared" si="9"/>
        <v>1</v>
      </c>
      <c r="J132" s="78">
        <f t="shared" si="10"/>
        <v>16</v>
      </c>
      <c r="K132" s="79">
        <f t="shared" si="11"/>
        <v>4</v>
      </c>
      <c r="L132" s="80">
        <f t="shared" si="12"/>
        <v>20</v>
      </c>
      <c r="M132" s="81">
        <f t="shared" si="13"/>
        <v>0</v>
      </c>
      <c r="N132" s="79">
        <f t="shared" si="14"/>
        <v>0</v>
      </c>
      <c r="O132" s="80">
        <f t="shared" si="15"/>
        <v>0</v>
      </c>
      <c r="P132" s="81">
        <f t="shared" si="16"/>
        <v>0</v>
      </c>
      <c r="Q132" s="79">
        <f t="shared" si="17"/>
        <v>0</v>
      </c>
      <c r="R132" s="80">
        <f t="shared" si="18"/>
        <v>0</v>
      </c>
      <c r="S132" s="82">
        <f t="shared" si="19"/>
        <v>179.7</v>
      </c>
    </row>
    <row r="133" spans="1:19" hidden="1" x14ac:dyDescent="0.25">
      <c r="A133" s="75">
        <f t="shared" si="20"/>
        <v>44338</v>
      </c>
      <c r="B133" s="76">
        <f t="shared" si="2"/>
        <v>548.5</v>
      </c>
      <c r="C133" s="77">
        <f t="shared" si="3"/>
        <v>151</v>
      </c>
      <c r="D133" s="78">
        <f t="shared" si="4"/>
        <v>56.800000000000004</v>
      </c>
      <c r="E133" s="79">
        <f t="shared" si="5"/>
        <v>14.200000000000001</v>
      </c>
      <c r="F133" s="80">
        <f t="shared" si="6"/>
        <v>71</v>
      </c>
      <c r="G133" s="78">
        <f t="shared" si="7"/>
        <v>0</v>
      </c>
      <c r="H133" s="80">
        <f t="shared" si="8"/>
        <v>0</v>
      </c>
      <c r="I133" s="79">
        <f t="shared" si="9"/>
        <v>0</v>
      </c>
      <c r="J133" s="78">
        <f t="shared" si="10"/>
        <v>16</v>
      </c>
      <c r="K133" s="79">
        <f t="shared" si="11"/>
        <v>4</v>
      </c>
      <c r="L133" s="80">
        <f t="shared" si="12"/>
        <v>20</v>
      </c>
      <c r="M133" s="81">
        <f t="shared" si="13"/>
        <v>0</v>
      </c>
      <c r="N133" s="79">
        <f t="shared" si="14"/>
        <v>0</v>
      </c>
      <c r="O133" s="80">
        <f t="shared" si="15"/>
        <v>0</v>
      </c>
      <c r="P133" s="81">
        <f t="shared" si="16"/>
        <v>0</v>
      </c>
      <c r="Q133" s="79">
        <f t="shared" si="17"/>
        <v>0</v>
      </c>
      <c r="R133" s="80">
        <f t="shared" si="18"/>
        <v>0</v>
      </c>
      <c r="S133" s="82">
        <f t="shared" si="19"/>
        <v>215.5</v>
      </c>
    </row>
    <row r="134" spans="1:19" hidden="1" x14ac:dyDescent="0.25">
      <c r="A134" s="75">
        <f t="shared" si="20"/>
        <v>44345</v>
      </c>
      <c r="B134" s="76">
        <f t="shared" si="2"/>
        <v>2069.5</v>
      </c>
      <c r="C134" s="77">
        <f t="shared" si="3"/>
        <v>340</v>
      </c>
      <c r="D134" s="78">
        <f t="shared" si="4"/>
        <v>64.8</v>
      </c>
      <c r="E134" s="79">
        <f t="shared" si="5"/>
        <v>16.2</v>
      </c>
      <c r="F134" s="80">
        <f t="shared" si="6"/>
        <v>81</v>
      </c>
      <c r="G134" s="78">
        <f t="shared" si="7"/>
        <v>20</v>
      </c>
      <c r="H134" s="80">
        <f t="shared" si="8"/>
        <v>25</v>
      </c>
      <c r="I134" s="79">
        <f t="shared" si="9"/>
        <v>5</v>
      </c>
      <c r="J134" s="78">
        <f t="shared" si="10"/>
        <v>15.200000000000001</v>
      </c>
      <c r="K134" s="79">
        <f t="shared" si="11"/>
        <v>3.8000000000000003</v>
      </c>
      <c r="L134" s="80">
        <f t="shared" si="12"/>
        <v>19</v>
      </c>
      <c r="M134" s="81">
        <f t="shared" si="13"/>
        <v>0</v>
      </c>
      <c r="N134" s="79">
        <f t="shared" si="14"/>
        <v>0</v>
      </c>
      <c r="O134" s="80">
        <f t="shared" si="15"/>
        <v>0</v>
      </c>
      <c r="P134" s="81">
        <f t="shared" si="16"/>
        <v>0</v>
      </c>
      <c r="Q134" s="79">
        <f t="shared" si="17"/>
        <v>0</v>
      </c>
      <c r="R134" s="80">
        <f t="shared" si="18"/>
        <v>0</v>
      </c>
      <c r="S134" s="82">
        <f t="shared" si="19"/>
        <v>1479.5</v>
      </c>
    </row>
    <row r="135" spans="1:19" hidden="1" x14ac:dyDescent="0.25">
      <c r="A135" s="75">
        <f t="shared" si="20"/>
        <v>44352</v>
      </c>
      <c r="B135" s="76">
        <f t="shared" si="2"/>
        <v>6253</v>
      </c>
      <c r="C135" s="77">
        <f t="shared" si="3"/>
        <v>213</v>
      </c>
      <c r="D135" s="78">
        <f t="shared" si="4"/>
        <v>73.600000000000009</v>
      </c>
      <c r="E135" s="79">
        <f t="shared" si="5"/>
        <v>18.400000000000002</v>
      </c>
      <c r="F135" s="80">
        <f t="shared" si="6"/>
        <v>92</v>
      </c>
      <c r="G135" s="78">
        <f t="shared" si="7"/>
        <v>0</v>
      </c>
      <c r="H135" s="80">
        <f t="shared" si="8"/>
        <v>0</v>
      </c>
      <c r="I135" s="79">
        <f t="shared" si="9"/>
        <v>0</v>
      </c>
      <c r="J135" s="78">
        <f t="shared" si="10"/>
        <v>120</v>
      </c>
      <c r="K135" s="79">
        <f t="shared" si="11"/>
        <v>30</v>
      </c>
      <c r="L135" s="80">
        <f t="shared" si="12"/>
        <v>150</v>
      </c>
      <c r="M135" s="81">
        <f t="shared" si="13"/>
        <v>0</v>
      </c>
      <c r="N135" s="79">
        <f t="shared" si="14"/>
        <v>0</v>
      </c>
      <c r="O135" s="80">
        <f t="shared" si="15"/>
        <v>0</v>
      </c>
      <c r="P135" s="81">
        <f t="shared" si="16"/>
        <v>0</v>
      </c>
      <c r="Q135" s="79">
        <f t="shared" si="17"/>
        <v>0</v>
      </c>
      <c r="R135" s="80">
        <f t="shared" si="18"/>
        <v>0</v>
      </c>
      <c r="S135" s="82">
        <f t="shared" si="19"/>
        <v>5556</v>
      </c>
    </row>
    <row r="136" spans="1:19" hidden="1" x14ac:dyDescent="0.25">
      <c r="A136" s="75">
        <f t="shared" si="20"/>
        <v>44359</v>
      </c>
      <c r="B136" s="76">
        <f t="shared" si="2"/>
        <v>604</v>
      </c>
      <c r="C136" s="77">
        <f t="shared" si="3"/>
        <v>193</v>
      </c>
      <c r="D136" s="78">
        <f t="shared" si="4"/>
        <v>38</v>
      </c>
      <c r="E136" s="79">
        <f t="shared" si="5"/>
        <v>9.5</v>
      </c>
      <c r="F136" s="80">
        <f t="shared" si="6"/>
        <v>47.5</v>
      </c>
      <c r="G136" s="78">
        <f t="shared" si="7"/>
        <v>24</v>
      </c>
      <c r="H136" s="80">
        <f t="shared" si="8"/>
        <v>30</v>
      </c>
      <c r="I136" s="79">
        <f t="shared" si="9"/>
        <v>6</v>
      </c>
      <c r="J136" s="78">
        <f t="shared" si="10"/>
        <v>21.6</v>
      </c>
      <c r="K136" s="79">
        <f t="shared" si="11"/>
        <v>5.4</v>
      </c>
      <c r="L136" s="80">
        <f t="shared" si="12"/>
        <v>27</v>
      </c>
      <c r="M136" s="81">
        <f t="shared" si="13"/>
        <v>0</v>
      </c>
      <c r="N136" s="79">
        <f t="shared" si="14"/>
        <v>0</v>
      </c>
      <c r="O136" s="80">
        <f t="shared" si="15"/>
        <v>0</v>
      </c>
      <c r="P136" s="81">
        <f t="shared" si="16"/>
        <v>0</v>
      </c>
      <c r="Q136" s="79">
        <f t="shared" si="17"/>
        <v>0</v>
      </c>
      <c r="R136" s="80">
        <f t="shared" si="18"/>
        <v>0</v>
      </c>
      <c r="S136" s="82">
        <f t="shared" si="19"/>
        <v>202</v>
      </c>
    </row>
    <row r="137" spans="1:19" hidden="1" x14ac:dyDescent="0.25">
      <c r="A137" s="75">
        <f t="shared" si="20"/>
        <v>44366</v>
      </c>
      <c r="B137" s="76">
        <f t="shared" si="2"/>
        <v>1204.9000000000001</v>
      </c>
      <c r="C137" s="77">
        <f t="shared" si="3"/>
        <v>326</v>
      </c>
      <c r="D137" s="78">
        <f t="shared" si="4"/>
        <v>70</v>
      </c>
      <c r="E137" s="79">
        <f t="shared" si="5"/>
        <v>17.5</v>
      </c>
      <c r="F137" s="80">
        <f t="shared" si="6"/>
        <v>87.5</v>
      </c>
      <c r="G137" s="78">
        <f t="shared" si="7"/>
        <v>10</v>
      </c>
      <c r="H137" s="80">
        <f t="shared" si="8"/>
        <v>12.5</v>
      </c>
      <c r="I137" s="79">
        <f t="shared" si="9"/>
        <v>2.5</v>
      </c>
      <c r="J137" s="78">
        <f t="shared" si="10"/>
        <v>42</v>
      </c>
      <c r="K137" s="79">
        <f t="shared" si="11"/>
        <v>10.5</v>
      </c>
      <c r="L137" s="80">
        <f t="shared" si="12"/>
        <v>52.5</v>
      </c>
      <c r="M137" s="81">
        <f t="shared" si="13"/>
        <v>0</v>
      </c>
      <c r="N137" s="79">
        <f t="shared" si="14"/>
        <v>0</v>
      </c>
      <c r="O137" s="80">
        <f t="shared" si="15"/>
        <v>0</v>
      </c>
      <c r="P137" s="81">
        <f t="shared" si="16"/>
        <v>0</v>
      </c>
      <c r="Q137" s="79">
        <f t="shared" si="17"/>
        <v>0</v>
      </c>
      <c r="R137" s="80">
        <f t="shared" si="18"/>
        <v>0</v>
      </c>
      <c r="S137" s="82">
        <f t="shared" si="19"/>
        <v>573.9</v>
      </c>
    </row>
    <row r="138" spans="1:19" hidden="1" x14ac:dyDescent="0.25">
      <c r="A138" s="75">
        <f t="shared" si="20"/>
        <v>44373</v>
      </c>
      <c r="B138" s="76">
        <f t="shared" si="2"/>
        <v>719</v>
      </c>
      <c r="C138" s="77">
        <f t="shared" si="3"/>
        <v>209</v>
      </c>
      <c r="D138" s="78">
        <f t="shared" si="4"/>
        <v>55.6</v>
      </c>
      <c r="E138" s="79">
        <f t="shared" si="5"/>
        <v>13.9</v>
      </c>
      <c r="F138" s="80">
        <f t="shared" si="6"/>
        <v>69.5</v>
      </c>
      <c r="G138" s="78">
        <f t="shared" si="7"/>
        <v>8</v>
      </c>
      <c r="H138" s="80">
        <f t="shared" si="8"/>
        <v>10</v>
      </c>
      <c r="I138" s="79">
        <f t="shared" si="9"/>
        <v>2</v>
      </c>
      <c r="J138" s="78">
        <f t="shared" si="10"/>
        <v>32</v>
      </c>
      <c r="K138" s="79">
        <f t="shared" si="11"/>
        <v>8</v>
      </c>
      <c r="L138" s="80">
        <f t="shared" si="12"/>
        <v>40</v>
      </c>
      <c r="M138" s="81">
        <f t="shared" si="13"/>
        <v>0</v>
      </c>
      <c r="N138" s="79">
        <f t="shared" si="14"/>
        <v>0</v>
      </c>
      <c r="O138" s="80">
        <f t="shared" si="15"/>
        <v>0</v>
      </c>
      <c r="P138" s="81">
        <f t="shared" si="16"/>
        <v>0</v>
      </c>
      <c r="Q138" s="79">
        <f t="shared" si="17"/>
        <v>0</v>
      </c>
      <c r="R138" s="80">
        <f t="shared" si="18"/>
        <v>0</v>
      </c>
      <c r="S138" s="82">
        <f t="shared" si="19"/>
        <v>271</v>
      </c>
    </row>
    <row r="139" spans="1:19" hidden="1" x14ac:dyDescent="0.25">
      <c r="A139" s="75">
        <f t="shared" si="20"/>
        <v>44380</v>
      </c>
      <c r="B139" s="76">
        <f t="shared" si="2"/>
        <v>742</v>
      </c>
      <c r="C139" s="77">
        <f t="shared" si="3"/>
        <v>174</v>
      </c>
      <c r="D139" s="78">
        <f t="shared" si="4"/>
        <v>81.600000000000009</v>
      </c>
      <c r="E139" s="79">
        <f t="shared" si="5"/>
        <v>20.400000000000002</v>
      </c>
      <c r="F139" s="80">
        <f t="shared" si="6"/>
        <v>102</v>
      </c>
      <c r="G139" s="78">
        <f t="shared" si="7"/>
        <v>12</v>
      </c>
      <c r="H139" s="80">
        <f t="shared" si="8"/>
        <v>15</v>
      </c>
      <c r="I139" s="79">
        <f t="shared" si="9"/>
        <v>3</v>
      </c>
      <c r="J139" s="78">
        <f t="shared" si="10"/>
        <v>20</v>
      </c>
      <c r="K139" s="79">
        <f t="shared" si="11"/>
        <v>5</v>
      </c>
      <c r="L139" s="80">
        <f t="shared" si="12"/>
        <v>25</v>
      </c>
      <c r="M139" s="81">
        <f t="shared" si="13"/>
        <v>0</v>
      </c>
      <c r="N139" s="79">
        <f t="shared" si="14"/>
        <v>0</v>
      </c>
      <c r="O139" s="80">
        <f t="shared" si="15"/>
        <v>0</v>
      </c>
      <c r="P139" s="81">
        <f t="shared" si="16"/>
        <v>0</v>
      </c>
      <c r="Q139" s="79">
        <f t="shared" si="17"/>
        <v>0</v>
      </c>
      <c r="R139" s="80">
        <f t="shared" si="18"/>
        <v>0</v>
      </c>
      <c r="S139" s="82">
        <f t="shared" si="19"/>
        <v>284</v>
      </c>
    </row>
    <row r="140" spans="1:19" hidden="1" x14ac:dyDescent="0.25">
      <c r="A140" s="75">
        <f t="shared" si="20"/>
        <v>44387</v>
      </c>
      <c r="B140" s="76">
        <f t="shared" si="2"/>
        <v>1996.8</v>
      </c>
      <c r="C140" s="77">
        <f t="shared" si="3"/>
        <v>623</v>
      </c>
      <c r="D140" s="78">
        <f t="shared" si="4"/>
        <v>95.600000000000009</v>
      </c>
      <c r="E140" s="79">
        <f t="shared" si="5"/>
        <v>23.900000000000002</v>
      </c>
      <c r="F140" s="80">
        <f t="shared" si="6"/>
        <v>119.5</v>
      </c>
      <c r="G140" s="78">
        <f t="shared" si="7"/>
        <v>22</v>
      </c>
      <c r="H140" s="80">
        <f t="shared" si="8"/>
        <v>27.5</v>
      </c>
      <c r="I140" s="79">
        <f t="shared" si="9"/>
        <v>5.5</v>
      </c>
      <c r="J140" s="78">
        <f t="shared" si="10"/>
        <v>16.400000000000002</v>
      </c>
      <c r="K140" s="79">
        <f t="shared" si="11"/>
        <v>4.1000000000000005</v>
      </c>
      <c r="L140" s="80">
        <f t="shared" si="12"/>
        <v>20.5</v>
      </c>
      <c r="M140" s="81">
        <f t="shared" si="13"/>
        <v>0</v>
      </c>
      <c r="N140" s="79">
        <f t="shared" si="14"/>
        <v>0</v>
      </c>
      <c r="O140" s="80">
        <f t="shared" si="15"/>
        <v>0</v>
      </c>
      <c r="P140" s="81">
        <f t="shared" si="16"/>
        <v>0</v>
      </c>
      <c r="Q140" s="79">
        <f t="shared" si="17"/>
        <v>0</v>
      </c>
      <c r="R140" s="80">
        <f t="shared" si="18"/>
        <v>0</v>
      </c>
      <c r="S140" s="82">
        <f t="shared" si="19"/>
        <v>1038.8</v>
      </c>
    </row>
    <row r="141" spans="1:19" hidden="1" x14ac:dyDescent="0.25">
      <c r="A141" s="75">
        <f t="shared" si="20"/>
        <v>44394</v>
      </c>
      <c r="B141" s="76">
        <f t="shared" si="2"/>
        <v>1760</v>
      </c>
      <c r="C141" s="77">
        <f t="shared" si="3"/>
        <v>309</v>
      </c>
      <c r="D141" s="78">
        <f t="shared" si="4"/>
        <v>71.600000000000009</v>
      </c>
      <c r="E141" s="79">
        <f t="shared" si="5"/>
        <v>17.900000000000002</v>
      </c>
      <c r="F141" s="80">
        <f t="shared" si="6"/>
        <v>89.5</v>
      </c>
      <c r="G141" s="78">
        <f t="shared" si="7"/>
        <v>4</v>
      </c>
      <c r="H141" s="80">
        <f t="shared" si="8"/>
        <v>5</v>
      </c>
      <c r="I141" s="79">
        <f t="shared" si="9"/>
        <v>1</v>
      </c>
      <c r="J141" s="78">
        <f t="shared" si="10"/>
        <v>41.2</v>
      </c>
      <c r="K141" s="79">
        <f t="shared" si="11"/>
        <v>10.3</v>
      </c>
      <c r="L141" s="80">
        <f t="shared" si="12"/>
        <v>51.5</v>
      </c>
      <c r="M141" s="81">
        <f t="shared" si="13"/>
        <v>0</v>
      </c>
      <c r="N141" s="79">
        <f t="shared" si="14"/>
        <v>0</v>
      </c>
      <c r="O141" s="80">
        <f t="shared" si="15"/>
        <v>0</v>
      </c>
      <c r="P141" s="81">
        <f t="shared" si="16"/>
        <v>0</v>
      </c>
      <c r="Q141" s="79">
        <f t="shared" si="17"/>
        <v>0</v>
      </c>
      <c r="R141" s="80">
        <f t="shared" si="18"/>
        <v>0</v>
      </c>
      <c r="S141" s="82">
        <f t="shared" si="19"/>
        <v>1159</v>
      </c>
    </row>
    <row r="142" spans="1:19" hidden="1" x14ac:dyDescent="0.25">
      <c r="A142" s="75">
        <f t="shared" si="20"/>
        <v>44401</v>
      </c>
      <c r="B142" s="76">
        <f t="shared" si="2"/>
        <v>412</v>
      </c>
      <c r="C142" s="77">
        <f t="shared" si="3"/>
        <v>99</v>
      </c>
      <c r="D142" s="78">
        <f t="shared" si="4"/>
        <v>30.8</v>
      </c>
      <c r="E142" s="79">
        <f t="shared" si="5"/>
        <v>7.7</v>
      </c>
      <c r="F142" s="80">
        <f t="shared" si="6"/>
        <v>38.5</v>
      </c>
      <c r="G142" s="78">
        <f t="shared" si="7"/>
        <v>22</v>
      </c>
      <c r="H142" s="80">
        <f t="shared" si="8"/>
        <v>27.5</v>
      </c>
      <c r="I142" s="79">
        <f t="shared" si="9"/>
        <v>5.5</v>
      </c>
      <c r="J142" s="78">
        <f t="shared" si="10"/>
        <v>18</v>
      </c>
      <c r="K142" s="79">
        <f t="shared" si="11"/>
        <v>4.5</v>
      </c>
      <c r="L142" s="80">
        <f t="shared" si="12"/>
        <v>22.5</v>
      </c>
      <c r="M142" s="81">
        <f t="shared" si="13"/>
        <v>0</v>
      </c>
      <c r="N142" s="79">
        <f t="shared" si="14"/>
        <v>0</v>
      </c>
      <c r="O142" s="80">
        <f t="shared" si="15"/>
        <v>0</v>
      </c>
      <c r="P142" s="81">
        <f t="shared" si="16"/>
        <v>0</v>
      </c>
      <c r="Q142" s="79">
        <f t="shared" si="17"/>
        <v>0</v>
      </c>
      <c r="R142" s="80">
        <f t="shared" si="18"/>
        <v>0</v>
      </c>
      <c r="S142" s="82">
        <f t="shared" si="19"/>
        <v>136</v>
      </c>
    </row>
    <row r="143" spans="1:19" hidden="1" x14ac:dyDescent="0.25">
      <c r="A143" s="75">
        <f t="shared" si="20"/>
        <v>44408</v>
      </c>
      <c r="B143" s="76">
        <f t="shared" si="2"/>
        <v>1349.6</v>
      </c>
      <c r="C143" s="77">
        <f t="shared" si="3"/>
        <v>557</v>
      </c>
      <c r="D143" s="78">
        <f t="shared" si="4"/>
        <v>73.600000000000009</v>
      </c>
      <c r="E143" s="79">
        <f t="shared" si="5"/>
        <v>18.400000000000002</v>
      </c>
      <c r="F143" s="80">
        <f t="shared" si="6"/>
        <v>92</v>
      </c>
      <c r="G143" s="78">
        <f t="shared" si="7"/>
        <v>28</v>
      </c>
      <c r="H143" s="80">
        <f t="shared" si="8"/>
        <v>35</v>
      </c>
      <c r="I143" s="79">
        <f t="shared" si="9"/>
        <v>7</v>
      </c>
      <c r="J143" s="78">
        <f t="shared" si="10"/>
        <v>26.400000000000002</v>
      </c>
      <c r="K143" s="79">
        <f t="shared" si="11"/>
        <v>6.6000000000000005</v>
      </c>
      <c r="L143" s="80">
        <f t="shared" si="12"/>
        <v>33</v>
      </c>
      <c r="M143" s="81">
        <f t="shared" si="13"/>
        <v>0</v>
      </c>
      <c r="N143" s="79">
        <f t="shared" si="14"/>
        <v>0</v>
      </c>
      <c r="O143" s="80">
        <f t="shared" si="15"/>
        <v>0</v>
      </c>
      <c r="P143" s="81">
        <f t="shared" si="16"/>
        <v>0</v>
      </c>
      <c r="Q143" s="79">
        <f t="shared" si="17"/>
        <v>0</v>
      </c>
      <c r="R143" s="80">
        <f t="shared" si="18"/>
        <v>0</v>
      </c>
      <c r="S143" s="82">
        <f t="shared" si="19"/>
        <v>472.6</v>
      </c>
    </row>
    <row r="144" spans="1:19" hidden="1" x14ac:dyDescent="0.25">
      <c r="A144" s="75">
        <f t="shared" si="20"/>
        <v>44415</v>
      </c>
      <c r="B144" s="76">
        <f t="shared" si="2"/>
        <v>1210</v>
      </c>
      <c r="C144" s="77">
        <f t="shared" si="3"/>
        <v>468</v>
      </c>
      <c r="D144" s="78">
        <f t="shared" si="4"/>
        <v>72.400000000000006</v>
      </c>
      <c r="E144" s="79">
        <f t="shared" si="5"/>
        <v>18.100000000000001</v>
      </c>
      <c r="F144" s="80">
        <f t="shared" si="6"/>
        <v>90.5</v>
      </c>
      <c r="G144" s="78">
        <f t="shared" si="7"/>
        <v>12.4</v>
      </c>
      <c r="H144" s="80">
        <f t="shared" si="8"/>
        <v>15.5</v>
      </c>
      <c r="I144" s="79">
        <f t="shared" si="9"/>
        <v>3.1</v>
      </c>
      <c r="J144" s="78">
        <f t="shared" si="10"/>
        <v>12</v>
      </c>
      <c r="K144" s="79">
        <f t="shared" si="11"/>
        <v>3</v>
      </c>
      <c r="L144" s="80">
        <f t="shared" si="12"/>
        <v>15</v>
      </c>
      <c r="M144" s="81">
        <f t="shared" si="13"/>
        <v>0</v>
      </c>
      <c r="N144" s="79">
        <f t="shared" si="14"/>
        <v>0</v>
      </c>
      <c r="O144" s="80">
        <f t="shared" si="15"/>
        <v>0</v>
      </c>
      <c r="P144" s="81">
        <f t="shared" si="16"/>
        <v>0</v>
      </c>
      <c r="Q144" s="79">
        <f t="shared" si="17"/>
        <v>0</v>
      </c>
      <c r="R144" s="80">
        <f t="shared" si="18"/>
        <v>0</v>
      </c>
      <c r="S144" s="82">
        <f t="shared" si="19"/>
        <v>500</v>
      </c>
    </row>
    <row r="145" spans="1:19" hidden="1" x14ac:dyDescent="0.25">
      <c r="A145" s="75">
        <f t="shared" si="20"/>
        <v>44422</v>
      </c>
      <c r="B145" s="76">
        <f t="shared" si="2"/>
        <v>849</v>
      </c>
      <c r="C145" s="77">
        <f t="shared" si="3"/>
        <v>307</v>
      </c>
      <c r="D145" s="78">
        <f t="shared" si="4"/>
        <v>96.800000000000011</v>
      </c>
      <c r="E145" s="79">
        <f t="shared" si="5"/>
        <v>24.200000000000003</v>
      </c>
      <c r="F145" s="80">
        <f t="shared" si="6"/>
        <v>121</v>
      </c>
      <c r="G145" s="78">
        <f t="shared" si="7"/>
        <v>8.8000000000000007</v>
      </c>
      <c r="H145" s="80">
        <f t="shared" si="8"/>
        <v>11</v>
      </c>
      <c r="I145" s="79">
        <f t="shared" si="9"/>
        <v>2.2000000000000002</v>
      </c>
      <c r="J145" s="78">
        <f t="shared" si="10"/>
        <v>7.6000000000000005</v>
      </c>
      <c r="K145" s="79">
        <f t="shared" si="11"/>
        <v>1.9000000000000001</v>
      </c>
      <c r="L145" s="80">
        <f t="shared" si="12"/>
        <v>9.5</v>
      </c>
      <c r="M145" s="81">
        <f t="shared" si="13"/>
        <v>0</v>
      </c>
      <c r="N145" s="79">
        <f t="shared" si="14"/>
        <v>0</v>
      </c>
      <c r="O145" s="80">
        <f t="shared" si="15"/>
        <v>0</v>
      </c>
      <c r="P145" s="81">
        <f t="shared" si="16"/>
        <v>0</v>
      </c>
      <c r="Q145" s="79">
        <f t="shared" si="17"/>
        <v>0</v>
      </c>
      <c r="R145" s="80">
        <f t="shared" si="18"/>
        <v>0</v>
      </c>
      <c r="S145" s="82">
        <f t="shared" si="19"/>
        <v>259</v>
      </c>
    </row>
    <row r="146" spans="1:19" hidden="1" x14ac:dyDescent="0.25">
      <c r="A146" s="75">
        <f t="shared" si="20"/>
        <v>44429</v>
      </c>
      <c r="B146" s="76">
        <f t="shared" ref="B146:B177" si="21">K34</f>
        <v>969</v>
      </c>
      <c r="C146" s="77">
        <f t="shared" ref="C146:C177" si="22">B34</f>
        <v>453</v>
      </c>
      <c r="D146" s="78">
        <f t="shared" ref="D146:D177" si="23">0.4*C34</f>
        <v>56</v>
      </c>
      <c r="E146" s="79">
        <f t="shared" ref="E146:E177" si="24">0.1*C34</f>
        <v>14</v>
      </c>
      <c r="F146" s="80">
        <f t="shared" ref="F146:F177" si="25">0.5*C34</f>
        <v>70</v>
      </c>
      <c r="G146" s="78">
        <f t="shared" ref="G146:G177" si="26">0.4*D34</f>
        <v>4</v>
      </c>
      <c r="H146" s="80">
        <f t="shared" ref="H146:H177" si="27">0.5*D34</f>
        <v>5</v>
      </c>
      <c r="I146" s="79">
        <f t="shared" ref="I146:I177" si="28">0.1*D34</f>
        <v>1</v>
      </c>
      <c r="J146" s="78">
        <f t="shared" ref="J146:J177" si="29">0.4*E34</f>
        <v>12</v>
      </c>
      <c r="K146" s="79">
        <f t="shared" ref="K146:K177" si="30">0.1*E34</f>
        <v>3</v>
      </c>
      <c r="L146" s="80">
        <f t="shared" ref="L146:L177" si="31">0.5*E34</f>
        <v>15</v>
      </c>
      <c r="M146" s="81">
        <f t="shared" ref="M146:M177" si="32">PRODUCT(I34*(1/3))</f>
        <v>0</v>
      </c>
      <c r="N146" s="79">
        <f t="shared" ref="N146:N177" si="33">PRODUCT(I34*(1/3))</f>
        <v>0</v>
      </c>
      <c r="O146" s="80">
        <f t="shared" ref="O146:O177" si="34">PRODUCT(I34*(1/3))</f>
        <v>0</v>
      </c>
      <c r="P146" s="81">
        <f t="shared" ref="P146:P177" si="35">J34*0.1</f>
        <v>0</v>
      </c>
      <c r="Q146" s="79">
        <f t="shared" ref="Q146:Q177" si="36">J34*0.1</f>
        <v>0</v>
      </c>
      <c r="R146" s="80">
        <f t="shared" ref="R146:R177" si="37">J34*0.8</f>
        <v>0</v>
      </c>
      <c r="S146" s="82">
        <f t="shared" ref="S146:S177" si="38">SUM(F34:H34)</f>
        <v>336</v>
      </c>
    </row>
    <row r="147" spans="1:19" hidden="1" x14ac:dyDescent="0.25">
      <c r="A147" s="75">
        <f t="shared" si="20"/>
        <v>44436</v>
      </c>
      <c r="B147" s="76">
        <f t="shared" si="21"/>
        <v>701</v>
      </c>
      <c r="C147" s="77">
        <f t="shared" si="22"/>
        <v>257</v>
      </c>
      <c r="D147" s="78">
        <f t="shared" si="23"/>
        <v>73.600000000000009</v>
      </c>
      <c r="E147" s="79">
        <f t="shared" si="24"/>
        <v>18.400000000000002</v>
      </c>
      <c r="F147" s="80">
        <f t="shared" si="25"/>
        <v>92</v>
      </c>
      <c r="G147" s="78">
        <f t="shared" si="26"/>
        <v>0</v>
      </c>
      <c r="H147" s="80">
        <f t="shared" si="27"/>
        <v>0</v>
      </c>
      <c r="I147" s="79">
        <f t="shared" si="28"/>
        <v>0</v>
      </c>
      <c r="J147" s="78">
        <f t="shared" si="29"/>
        <v>0</v>
      </c>
      <c r="K147" s="79">
        <f t="shared" si="30"/>
        <v>0</v>
      </c>
      <c r="L147" s="80">
        <f t="shared" si="31"/>
        <v>0</v>
      </c>
      <c r="M147" s="81">
        <f t="shared" si="32"/>
        <v>0</v>
      </c>
      <c r="N147" s="79">
        <f t="shared" si="33"/>
        <v>0</v>
      </c>
      <c r="O147" s="80">
        <f t="shared" si="34"/>
        <v>0</v>
      </c>
      <c r="P147" s="81">
        <f t="shared" si="35"/>
        <v>0</v>
      </c>
      <c r="Q147" s="79">
        <f t="shared" si="36"/>
        <v>0</v>
      </c>
      <c r="R147" s="80">
        <f t="shared" si="37"/>
        <v>0</v>
      </c>
      <c r="S147" s="82">
        <f t="shared" si="38"/>
        <v>260</v>
      </c>
    </row>
    <row r="148" spans="1:19" hidden="1" x14ac:dyDescent="0.25">
      <c r="A148" s="75">
        <f t="shared" si="20"/>
        <v>44443</v>
      </c>
      <c r="B148" s="76">
        <f t="shared" si="21"/>
        <v>572</v>
      </c>
      <c r="C148" s="77">
        <f t="shared" si="22"/>
        <v>143</v>
      </c>
      <c r="D148" s="78">
        <f t="shared" si="23"/>
        <v>57.2</v>
      </c>
      <c r="E148" s="79">
        <f t="shared" si="24"/>
        <v>14.3</v>
      </c>
      <c r="F148" s="80">
        <f t="shared" si="25"/>
        <v>71.5</v>
      </c>
      <c r="G148" s="78">
        <f t="shared" si="26"/>
        <v>8</v>
      </c>
      <c r="H148" s="80">
        <f t="shared" si="27"/>
        <v>10</v>
      </c>
      <c r="I148" s="79">
        <f t="shared" si="28"/>
        <v>2</v>
      </c>
      <c r="J148" s="78">
        <f t="shared" si="29"/>
        <v>28</v>
      </c>
      <c r="K148" s="79">
        <f t="shared" si="30"/>
        <v>7</v>
      </c>
      <c r="L148" s="80">
        <f t="shared" si="31"/>
        <v>35</v>
      </c>
      <c r="M148" s="81">
        <f t="shared" si="32"/>
        <v>0</v>
      </c>
      <c r="N148" s="79">
        <f t="shared" si="33"/>
        <v>0</v>
      </c>
      <c r="O148" s="80">
        <f t="shared" si="34"/>
        <v>0</v>
      </c>
      <c r="P148" s="81">
        <f t="shared" si="35"/>
        <v>0</v>
      </c>
      <c r="Q148" s="79">
        <f t="shared" si="36"/>
        <v>0</v>
      </c>
      <c r="R148" s="80">
        <f t="shared" si="37"/>
        <v>0</v>
      </c>
      <c r="S148" s="82">
        <f t="shared" si="38"/>
        <v>196</v>
      </c>
    </row>
    <row r="149" spans="1:19" hidden="1" x14ac:dyDescent="0.25">
      <c r="A149" s="75">
        <f t="shared" si="20"/>
        <v>44450</v>
      </c>
      <c r="B149" s="76">
        <f t="shared" si="21"/>
        <v>1036</v>
      </c>
      <c r="C149" s="77">
        <f t="shared" si="22"/>
        <v>579</v>
      </c>
      <c r="D149" s="78">
        <f t="shared" si="23"/>
        <v>84.800000000000011</v>
      </c>
      <c r="E149" s="79">
        <f t="shared" si="24"/>
        <v>21.200000000000003</v>
      </c>
      <c r="F149" s="80">
        <f t="shared" si="25"/>
        <v>106</v>
      </c>
      <c r="G149" s="78">
        <f t="shared" si="26"/>
        <v>16</v>
      </c>
      <c r="H149" s="80">
        <f t="shared" si="27"/>
        <v>20</v>
      </c>
      <c r="I149" s="79">
        <f t="shared" si="28"/>
        <v>4</v>
      </c>
      <c r="J149" s="78">
        <f t="shared" si="29"/>
        <v>10</v>
      </c>
      <c r="K149" s="79">
        <f t="shared" si="30"/>
        <v>2.5</v>
      </c>
      <c r="L149" s="80">
        <f t="shared" si="31"/>
        <v>12.5</v>
      </c>
      <c r="M149" s="81">
        <f t="shared" si="32"/>
        <v>0</v>
      </c>
      <c r="N149" s="79">
        <f t="shared" si="33"/>
        <v>0</v>
      </c>
      <c r="O149" s="80">
        <f t="shared" si="34"/>
        <v>0</v>
      </c>
      <c r="P149" s="81">
        <f t="shared" si="35"/>
        <v>0</v>
      </c>
      <c r="Q149" s="79">
        <f t="shared" si="36"/>
        <v>0</v>
      </c>
      <c r="R149" s="80">
        <f t="shared" si="37"/>
        <v>0</v>
      </c>
      <c r="S149" s="82">
        <f t="shared" si="38"/>
        <v>180</v>
      </c>
    </row>
    <row r="150" spans="1:19" hidden="1" x14ac:dyDescent="0.25">
      <c r="A150" s="75">
        <f t="shared" si="20"/>
        <v>44457</v>
      </c>
      <c r="B150" s="76">
        <f t="shared" si="21"/>
        <v>915</v>
      </c>
      <c r="C150" s="77">
        <f t="shared" si="22"/>
        <v>283</v>
      </c>
      <c r="D150" s="78">
        <f t="shared" si="23"/>
        <v>66</v>
      </c>
      <c r="E150" s="79">
        <f t="shared" si="24"/>
        <v>16.5</v>
      </c>
      <c r="F150" s="80">
        <f t="shared" si="25"/>
        <v>82.5</v>
      </c>
      <c r="G150" s="78">
        <f t="shared" si="26"/>
        <v>8</v>
      </c>
      <c r="H150" s="80">
        <f t="shared" si="27"/>
        <v>10</v>
      </c>
      <c r="I150" s="79">
        <f t="shared" si="28"/>
        <v>2</v>
      </c>
      <c r="J150" s="78">
        <f t="shared" si="29"/>
        <v>14</v>
      </c>
      <c r="K150" s="79">
        <f t="shared" si="30"/>
        <v>3.5</v>
      </c>
      <c r="L150" s="80">
        <f t="shared" si="31"/>
        <v>17.5</v>
      </c>
      <c r="M150" s="81">
        <f t="shared" si="32"/>
        <v>0</v>
      </c>
      <c r="N150" s="79">
        <f t="shared" si="33"/>
        <v>0</v>
      </c>
      <c r="O150" s="80">
        <f t="shared" si="34"/>
        <v>0</v>
      </c>
      <c r="P150" s="81">
        <f t="shared" si="35"/>
        <v>0</v>
      </c>
      <c r="Q150" s="79">
        <f t="shared" si="36"/>
        <v>0</v>
      </c>
      <c r="R150" s="80">
        <f t="shared" si="37"/>
        <v>0</v>
      </c>
      <c r="S150" s="82">
        <f t="shared" si="38"/>
        <v>412</v>
      </c>
    </row>
    <row r="151" spans="1:19" hidden="1" x14ac:dyDescent="0.25">
      <c r="A151" s="75">
        <f t="shared" si="20"/>
        <v>44464</v>
      </c>
      <c r="B151" s="76">
        <f t="shared" si="21"/>
        <v>919</v>
      </c>
      <c r="C151" s="77">
        <f t="shared" si="22"/>
        <v>331</v>
      </c>
      <c r="D151" s="78">
        <f t="shared" si="23"/>
        <v>66.8</v>
      </c>
      <c r="E151" s="79">
        <f t="shared" si="24"/>
        <v>16.7</v>
      </c>
      <c r="F151" s="80">
        <f t="shared" si="25"/>
        <v>83.5</v>
      </c>
      <c r="G151" s="78">
        <f t="shared" si="26"/>
        <v>28</v>
      </c>
      <c r="H151" s="80">
        <f t="shared" si="27"/>
        <v>35</v>
      </c>
      <c r="I151" s="79">
        <f t="shared" si="28"/>
        <v>7</v>
      </c>
      <c r="J151" s="78">
        <f t="shared" si="29"/>
        <v>14.8</v>
      </c>
      <c r="K151" s="79">
        <f t="shared" si="30"/>
        <v>3.7</v>
      </c>
      <c r="L151" s="80">
        <f t="shared" si="31"/>
        <v>18.5</v>
      </c>
      <c r="M151" s="81">
        <f t="shared" si="32"/>
        <v>0</v>
      </c>
      <c r="N151" s="79">
        <f t="shared" si="33"/>
        <v>0</v>
      </c>
      <c r="O151" s="80">
        <f t="shared" si="34"/>
        <v>0</v>
      </c>
      <c r="P151" s="81">
        <f t="shared" si="35"/>
        <v>0</v>
      </c>
      <c r="Q151" s="79">
        <f t="shared" si="36"/>
        <v>0</v>
      </c>
      <c r="R151" s="80">
        <f t="shared" si="37"/>
        <v>0</v>
      </c>
      <c r="S151" s="82">
        <f t="shared" si="38"/>
        <v>314</v>
      </c>
    </row>
    <row r="152" spans="1:19" hidden="1" x14ac:dyDescent="0.25">
      <c r="A152" s="75">
        <f t="shared" si="20"/>
        <v>44471</v>
      </c>
      <c r="B152" s="76">
        <f t="shared" si="21"/>
        <v>1229.9000000000001</v>
      </c>
      <c r="C152" s="77">
        <f t="shared" si="22"/>
        <v>238</v>
      </c>
      <c r="D152" s="78">
        <f t="shared" si="23"/>
        <v>71.600000000000009</v>
      </c>
      <c r="E152" s="79">
        <f t="shared" si="24"/>
        <v>17.900000000000002</v>
      </c>
      <c r="F152" s="80">
        <f t="shared" si="25"/>
        <v>89.5</v>
      </c>
      <c r="G152" s="78">
        <f t="shared" si="26"/>
        <v>22.8</v>
      </c>
      <c r="H152" s="80">
        <f t="shared" si="27"/>
        <v>28.5</v>
      </c>
      <c r="I152" s="79">
        <f t="shared" si="28"/>
        <v>5.7</v>
      </c>
      <c r="J152" s="78">
        <f t="shared" si="29"/>
        <v>40</v>
      </c>
      <c r="K152" s="79">
        <f t="shared" si="30"/>
        <v>10</v>
      </c>
      <c r="L152" s="80">
        <f t="shared" si="31"/>
        <v>50</v>
      </c>
      <c r="M152" s="81">
        <f t="shared" si="32"/>
        <v>0</v>
      </c>
      <c r="N152" s="79">
        <f t="shared" si="33"/>
        <v>0</v>
      </c>
      <c r="O152" s="80">
        <f t="shared" si="34"/>
        <v>0</v>
      </c>
      <c r="P152" s="81">
        <f t="shared" si="35"/>
        <v>0</v>
      </c>
      <c r="Q152" s="79">
        <f t="shared" si="36"/>
        <v>0</v>
      </c>
      <c r="R152" s="80">
        <f t="shared" si="37"/>
        <v>0</v>
      </c>
      <c r="S152" s="82">
        <f t="shared" si="38"/>
        <v>655.9</v>
      </c>
    </row>
    <row r="153" spans="1:19" hidden="1" x14ac:dyDescent="0.25">
      <c r="A153" s="75">
        <f t="shared" si="20"/>
        <v>44478</v>
      </c>
      <c r="B153" s="76">
        <f t="shared" si="21"/>
        <v>868.5</v>
      </c>
      <c r="C153" s="77">
        <f t="shared" si="22"/>
        <v>135</v>
      </c>
      <c r="D153" s="78">
        <f t="shared" si="23"/>
        <v>86.800000000000011</v>
      </c>
      <c r="E153" s="79">
        <f t="shared" si="24"/>
        <v>21.700000000000003</v>
      </c>
      <c r="F153" s="80">
        <f t="shared" si="25"/>
        <v>108.5</v>
      </c>
      <c r="G153" s="78">
        <f t="shared" si="26"/>
        <v>12</v>
      </c>
      <c r="H153" s="80">
        <f t="shared" si="27"/>
        <v>15</v>
      </c>
      <c r="I153" s="79">
        <f t="shared" si="28"/>
        <v>3</v>
      </c>
      <c r="J153" s="78">
        <f t="shared" si="29"/>
        <v>20</v>
      </c>
      <c r="K153" s="79">
        <f t="shared" si="30"/>
        <v>5</v>
      </c>
      <c r="L153" s="80">
        <f t="shared" si="31"/>
        <v>25</v>
      </c>
      <c r="M153" s="81">
        <f t="shared" si="32"/>
        <v>0</v>
      </c>
      <c r="N153" s="79">
        <f t="shared" si="33"/>
        <v>0</v>
      </c>
      <c r="O153" s="80">
        <f t="shared" si="34"/>
        <v>0</v>
      </c>
      <c r="P153" s="81">
        <f t="shared" si="35"/>
        <v>0</v>
      </c>
      <c r="Q153" s="79">
        <f t="shared" si="36"/>
        <v>0</v>
      </c>
      <c r="R153" s="80">
        <f t="shared" si="37"/>
        <v>0</v>
      </c>
      <c r="S153" s="82">
        <f t="shared" si="38"/>
        <v>436.5</v>
      </c>
    </row>
    <row r="154" spans="1:19" hidden="1" x14ac:dyDescent="0.25">
      <c r="A154" s="75">
        <f t="shared" si="20"/>
        <v>44485</v>
      </c>
      <c r="B154" s="76">
        <f t="shared" si="21"/>
        <v>650.70000000000005</v>
      </c>
      <c r="C154" s="77">
        <f t="shared" si="22"/>
        <v>249</v>
      </c>
      <c r="D154" s="78">
        <f t="shared" si="23"/>
        <v>67.600000000000009</v>
      </c>
      <c r="E154" s="79">
        <f t="shared" si="24"/>
        <v>16.900000000000002</v>
      </c>
      <c r="F154" s="80">
        <f t="shared" si="25"/>
        <v>84.5</v>
      </c>
      <c r="G154" s="78">
        <f t="shared" si="26"/>
        <v>20</v>
      </c>
      <c r="H154" s="80">
        <f t="shared" si="27"/>
        <v>25</v>
      </c>
      <c r="I154" s="79">
        <f t="shared" si="28"/>
        <v>5</v>
      </c>
      <c r="J154" s="78">
        <f t="shared" si="29"/>
        <v>20</v>
      </c>
      <c r="K154" s="79">
        <f t="shared" si="30"/>
        <v>5</v>
      </c>
      <c r="L154" s="80">
        <f t="shared" si="31"/>
        <v>25</v>
      </c>
      <c r="M154" s="81">
        <f t="shared" si="32"/>
        <v>0</v>
      </c>
      <c r="N154" s="79">
        <f t="shared" si="33"/>
        <v>0</v>
      </c>
      <c r="O154" s="80">
        <f t="shared" si="34"/>
        <v>0</v>
      </c>
      <c r="P154" s="81">
        <f t="shared" si="35"/>
        <v>0</v>
      </c>
      <c r="Q154" s="79">
        <f t="shared" si="36"/>
        <v>0</v>
      </c>
      <c r="R154" s="80">
        <f t="shared" si="37"/>
        <v>0</v>
      </c>
      <c r="S154" s="82">
        <f t="shared" si="38"/>
        <v>132.69999999999999</v>
      </c>
    </row>
    <row r="155" spans="1:19" hidden="1" x14ac:dyDescent="0.25">
      <c r="A155" s="75">
        <f t="shared" si="20"/>
        <v>44492</v>
      </c>
      <c r="B155" s="76">
        <f t="shared" si="21"/>
        <v>345</v>
      </c>
      <c r="C155" s="77">
        <f t="shared" si="22"/>
        <v>119</v>
      </c>
      <c r="D155" s="78">
        <f t="shared" si="23"/>
        <v>34</v>
      </c>
      <c r="E155" s="79">
        <f t="shared" si="24"/>
        <v>8.5</v>
      </c>
      <c r="F155" s="80">
        <f t="shared" si="25"/>
        <v>42.5</v>
      </c>
      <c r="G155" s="78">
        <f t="shared" si="26"/>
        <v>0</v>
      </c>
      <c r="H155" s="80">
        <f t="shared" si="27"/>
        <v>0</v>
      </c>
      <c r="I155" s="79">
        <f t="shared" si="28"/>
        <v>0</v>
      </c>
      <c r="J155" s="78">
        <f t="shared" si="29"/>
        <v>14.8</v>
      </c>
      <c r="K155" s="79">
        <f t="shared" si="30"/>
        <v>3.7</v>
      </c>
      <c r="L155" s="80">
        <f t="shared" si="31"/>
        <v>18.5</v>
      </c>
      <c r="M155" s="81">
        <f t="shared" si="32"/>
        <v>0</v>
      </c>
      <c r="N155" s="79">
        <f t="shared" si="33"/>
        <v>0</v>
      </c>
      <c r="O155" s="80">
        <f t="shared" si="34"/>
        <v>0</v>
      </c>
      <c r="P155" s="81">
        <f t="shared" si="35"/>
        <v>0</v>
      </c>
      <c r="Q155" s="79">
        <f t="shared" si="36"/>
        <v>0</v>
      </c>
      <c r="R155" s="80">
        <f t="shared" si="37"/>
        <v>0</v>
      </c>
      <c r="S155" s="82">
        <f t="shared" si="38"/>
        <v>104</v>
      </c>
    </row>
    <row r="156" spans="1:19" hidden="1" x14ac:dyDescent="0.25">
      <c r="A156" s="75">
        <f t="shared" si="20"/>
        <v>44499</v>
      </c>
      <c r="B156" s="76">
        <f t="shared" si="21"/>
        <v>1358.5</v>
      </c>
      <c r="C156" s="77">
        <f t="shared" si="22"/>
        <v>243</v>
      </c>
      <c r="D156" s="78">
        <f t="shared" si="23"/>
        <v>37.200000000000003</v>
      </c>
      <c r="E156" s="79">
        <f t="shared" si="24"/>
        <v>9.3000000000000007</v>
      </c>
      <c r="F156" s="80">
        <f t="shared" si="25"/>
        <v>46.5</v>
      </c>
      <c r="G156" s="78">
        <f t="shared" si="26"/>
        <v>0</v>
      </c>
      <c r="H156" s="80">
        <f t="shared" si="27"/>
        <v>0</v>
      </c>
      <c r="I156" s="79">
        <f t="shared" si="28"/>
        <v>0</v>
      </c>
      <c r="J156" s="78">
        <f t="shared" si="29"/>
        <v>0</v>
      </c>
      <c r="K156" s="79">
        <f t="shared" si="30"/>
        <v>0</v>
      </c>
      <c r="L156" s="80">
        <f t="shared" si="31"/>
        <v>0</v>
      </c>
      <c r="M156" s="81">
        <f t="shared" si="32"/>
        <v>0</v>
      </c>
      <c r="N156" s="79">
        <f t="shared" si="33"/>
        <v>0</v>
      </c>
      <c r="O156" s="80">
        <f t="shared" si="34"/>
        <v>0</v>
      </c>
      <c r="P156" s="81">
        <f t="shared" si="35"/>
        <v>0</v>
      </c>
      <c r="Q156" s="79">
        <f t="shared" si="36"/>
        <v>0</v>
      </c>
      <c r="R156" s="80">
        <f t="shared" si="37"/>
        <v>0</v>
      </c>
      <c r="S156" s="82">
        <f t="shared" si="38"/>
        <v>1022.5</v>
      </c>
    </row>
    <row r="157" spans="1:19" hidden="1" x14ac:dyDescent="0.25">
      <c r="A157" s="75">
        <f t="shared" si="20"/>
        <v>44506</v>
      </c>
      <c r="B157" s="76">
        <f t="shared" si="21"/>
        <v>821</v>
      </c>
      <c r="C157" s="77">
        <f t="shared" si="22"/>
        <v>298</v>
      </c>
      <c r="D157" s="78">
        <f t="shared" si="23"/>
        <v>94.800000000000011</v>
      </c>
      <c r="E157" s="79">
        <f t="shared" si="24"/>
        <v>23.700000000000003</v>
      </c>
      <c r="F157" s="80">
        <f t="shared" si="25"/>
        <v>118.5</v>
      </c>
      <c r="G157" s="78">
        <f t="shared" si="26"/>
        <v>10</v>
      </c>
      <c r="H157" s="80">
        <f t="shared" si="27"/>
        <v>12.5</v>
      </c>
      <c r="I157" s="79">
        <f t="shared" si="28"/>
        <v>2.5</v>
      </c>
      <c r="J157" s="78">
        <f t="shared" si="29"/>
        <v>19.600000000000001</v>
      </c>
      <c r="K157" s="79">
        <f t="shared" si="30"/>
        <v>4.9000000000000004</v>
      </c>
      <c r="L157" s="80">
        <f t="shared" si="31"/>
        <v>24.5</v>
      </c>
      <c r="M157" s="81">
        <f t="shared" si="32"/>
        <v>0</v>
      </c>
      <c r="N157" s="79">
        <f t="shared" si="33"/>
        <v>0</v>
      </c>
      <c r="O157" s="80">
        <f t="shared" si="34"/>
        <v>0</v>
      </c>
      <c r="P157" s="81">
        <f t="shared" si="35"/>
        <v>0</v>
      </c>
      <c r="Q157" s="79">
        <f t="shared" si="36"/>
        <v>0</v>
      </c>
      <c r="R157" s="80">
        <f t="shared" si="37"/>
        <v>0</v>
      </c>
      <c r="S157" s="82">
        <f t="shared" si="38"/>
        <v>212</v>
      </c>
    </row>
    <row r="158" spans="1:19" hidden="1" x14ac:dyDescent="0.25">
      <c r="A158" s="75">
        <f t="shared" si="20"/>
        <v>44513</v>
      </c>
      <c r="B158" s="76">
        <f t="shared" si="21"/>
        <v>1309</v>
      </c>
      <c r="C158" s="77">
        <f t="shared" si="22"/>
        <v>194</v>
      </c>
      <c r="D158" s="78">
        <f t="shared" si="23"/>
        <v>66</v>
      </c>
      <c r="E158" s="79">
        <f t="shared" si="24"/>
        <v>16.5</v>
      </c>
      <c r="F158" s="80">
        <f t="shared" si="25"/>
        <v>82.5</v>
      </c>
      <c r="G158" s="78">
        <f t="shared" si="26"/>
        <v>40</v>
      </c>
      <c r="H158" s="80">
        <f t="shared" si="27"/>
        <v>50</v>
      </c>
      <c r="I158" s="79">
        <f t="shared" si="28"/>
        <v>10</v>
      </c>
      <c r="J158" s="78">
        <f t="shared" si="29"/>
        <v>60</v>
      </c>
      <c r="K158" s="79">
        <f t="shared" si="30"/>
        <v>15</v>
      </c>
      <c r="L158" s="80">
        <f t="shared" si="31"/>
        <v>75</v>
      </c>
      <c r="M158" s="81">
        <f t="shared" si="32"/>
        <v>0</v>
      </c>
      <c r="N158" s="79">
        <f t="shared" si="33"/>
        <v>0</v>
      </c>
      <c r="O158" s="80">
        <f t="shared" si="34"/>
        <v>0</v>
      </c>
      <c r="P158" s="81">
        <f t="shared" si="35"/>
        <v>0</v>
      </c>
      <c r="Q158" s="79">
        <f t="shared" si="36"/>
        <v>0</v>
      </c>
      <c r="R158" s="80">
        <f t="shared" si="37"/>
        <v>0</v>
      </c>
      <c r="S158" s="82">
        <f t="shared" si="38"/>
        <v>700</v>
      </c>
    </row>
    <row r="159" spans="1:19" hidden="1" x14ac:dyDescent="0.25">
      <c r="A159" s="75">
        <f t="shared" si="20"/>
        <v>44520</v>
      </c>
      <c r="B159" s="76">
        <f t="shared" si="21"/>
        <v>11798</v>
      </c>
      <c r="C159" s="77">
        <f t="shared" si="22"/>
        <v>306</v>
      </c>
      <c r="D159" s="78">
        <f t="shared" si="23"/>
        <v>47.6</v>
      </c>
      <c r="E159" s="79">
        <f t="shared" si="24"/>
        <v>11.9</v>
      </c>
      <c r="F159" s="80">
        <f t="shared" si="25"/>
        <v>59.5</v>
      </c>
      <c r="G159" s="78">
        <f t="shared" si="26"/>
        <v>20</v>
      </c>
      <c r="H159" s="80">
        <f t="shared" si="27"/>
        <v>25</v>
      </c>
      <c r="I159" s="79">
        <f t="shared" si="28"/>
        <v>5</v>
      </c>
      <c r="J159" s="78">
        <f t="shared" si="29"/>
        <v>20</v>
      </c>
      <c r="K159" s="79">
        <f t="shared" si="30"/>
        <v>5</v>
      </c>
      <c r="L159" s="80">
        <f t="shared" si="31"/>
        <v>25</v>
      </c>
      <c r="M159" s="81">
        <f t="shared" si="32"/>
        <v>0</v>
      </c>
      <c r="N159" s="79">
        <f t="shared" si="33"/>
        <v>0</v>
      </c>
      <c r="O159" s="80">
        <f t="shared" si="34"/>
        <v>0</v>
      </c>
      <c r="P159" s="81">
        <f t="shared" si="35"/>
        <v>0</v>
      </c>
      <c r="Q159" s="79">
        <f t="shared" si="36"/>
        <v>0</v>
      </c>
      <c r="R159" s="80">
        <f t="shared" si="37"/>
        <v>0</v>
      </c>
      <c r="S159" s="82">
        <f t="shared" si="38"/>
        <v>11273</v>
      </c>
    </row>
    <row r="160" spans="1:19" hidden="1" x14ac:dyDescent="0.25">
      <c r="A160" s="75">
        <f t="shared" si="20"/>
        <v>44527</v>
      </c>
      <c r="B160" s="76">
        <f t="shared" si="21"/>
        <v>3042</v>
      </c>
      <c r="C160" s="77">
        <f t="shared" si="22"/>
        <v>218</v>
      </c>
      <c r="D160" s="78">
        <f t="shared" si="23"/>
        <v>44.800000000000004</v>
      </c>
      <c r="E160" s="79">
        <f t="shared" si="24"/>
        <v>11.200000000000001</v>
      </c>
      <c r="F160" s="80">
        <f t="shared" si="25"/>
        <v>56</v>
      </c>
      <c r="G160" s="78">
        <f t="shared" si="26"/>
        <v>0</v>
      </c>
      <c r="H160" s="80">
        <f t="shared" si="27"/>
        <v>0</v>
      </c>
      <c r="I160" s="79">
        <f t="shared" si="28"/>
        <v>0</v>
      </c>
      <c r="J160" s="78">
        <f t="shared" si="29"/>
        <v>0</v>
      </c>
      <c r="K160" s="79">
        <f t="shared" si="30"/>
        <v>0</v>
      </c>
      <c r="L160" s="80">
        <f t="shared" si="31"/>
        <v>0</v>
      </c>
      <c r="M160" s="81">
        <f t="shared" si="32"/>
        <v>0</v>
      </c>
      <c r="N160" s="79">
        <f t="shared" si="33"/>
        <v>0</v>
      </c>
      <c r="O160" s="80">
        <f t="shared" si="34"/>
        <v>0</v>
      </c>
      <c r="P160" s="81">
        <f t="shared" si="35"/>
        <v>0</v>
      </c>
      <c r="Q160" s="79">
        <f t="shared" si="36"/>
        <v>0</v>
      </c>
      <c r="R160" s="80">
        <f t="shared" si="37"/>
        <v>0</v>
      </c>
      <c r="S160" s="82">
        <f t="shared" si="38"/>
        <v>2712</v>
      </c>
    </row>
    <row r="161" spans="1:19" hidden="1" x14ac:dyDescent="0.25">
      <c r="A161" s="75">
        <f t="shared" si="20"/>
        <v>44534</v>
      </c>
      <c r="B161" s="76">
        <f t="shared" si="21"/>
        <v>969</v>
      </c>
      <c r="C161" s="77">
        <f t="shared" si="22"/>
        <v>200</v>
      </c>
      <c r="D161" s="78">
        <f t="shared" si="23"/>
        <v>44</v>
      </c>
      <c r="E161" s="79">
        <f t="shared" si="24"/>
        <v>11</v>
      </c>
      <c r="F161" s="80">
        <f t="shared" si="25"/>
        <v>55</v>
      </c>
      <c r="G161" s="78">
        <f t="shared" si="26"/>
        <v>20</v>
      </c>
      <c r="H161" s="80">
        <f t="shared" si="27"/>
        <v>25</v>
      </c>
      <c r="I161" s="79">
        <f t="shared" si="28"/>
        <v>5</v>
      </c>
      <c r="J161" s="78">
        <f t="shared" si="29"/>
        <v>19.200000000000003</v>
      </c>
      <c r="K161" s="79">
        <f t="shared" si="30"/>
        <v>4.8000000000000007</v>
      </c>
      <c r="L161" s="80">
        <f t="shared" si="31"/>
        <v>24</v>
      </c>
      <c r="M161" s="81">
        <f t="shared" si="32"/>
        <v>0</v>
      </c>
      <c r="N161" s="79">
        <f t="shared" si="33"/>
        <v>0</v>
      </c>
      <c r="O161" s="80">
        <f t="shared" si="34"/>
        <v>0</v>
      </c>
      <c r="P161" s="81">
        <f t="shared" si="35"/>
        <v>0</v>
      </c>
      <c r="Q161" s="79">
        <f t="shared" si="36"/>
        <v>0</v>
      </c>
      <c r="R161" s="80">
        <f t="shared" si="37"/>
        <v>0</v>
      </c>
      <c r="S161" s="82">
        <f t="shared" si="38"/>
        <v>561</v>
      </c>
    </row>
    <row r="162" spans="1:19" hidden="1" x14ac:dyDescent="0.25">
      <c r="A162" s="75">
        <f t="shared" si="20"/>
        <v>44541</v>
      </c>
      <c r="B162" s="76">
        <f t="shared" si="21"/>
        <v>686</v>
      </c>
      <c r="C162" s="77">
        <f t="shared" si="22"/>
        <v>158</v>
      </c>
      <c r="D162" s="78">
        <f t="shared" si="23"/>
        <v>71.2</v>
      </c>
      <c r="E162" s="79">
        <f t="shared" si="24"/>
        <v>17.8</v>
      </c>
      <c r="F162" s="80">
        <f t="shared" si="25"/>
        <v>89</v>
      </c>
      <c r="G162" s="78">
        <f t="shared" si="26"/>
        <v>12</v>
      </c>
      <c r="H162" s="80">
        <f t="shared" si="27"/>
        <v>15</v>
      </c>
      <c r="I162" s="79">
        <f t="shared" si="28"/>
        <v>3</v>
      </c>
      <c r="J162" s="78">
        <f t="shared" si="29"/>
        <v>18.400000000000002</v>
      </c>
      <c r="K162" s="79">
        <f t="shared" si="30"/>
        <v>4.6000000000000005</v>
      </c>
      <c r="L162" s="80">
        <f t="shared" si="31"/>
        <v>23</v>
      </c>
      <c r="M162" s="81">
        <f t="shared" si="32"/>
        <v>0</v>
      </c>
      <c r="N162" s="79">
        <f t="shared" si="33"/>
        <v>0</v>
      </c>
      <c r="O162" s="80">
        <f t="shared" si="34"/>
        <v>0</v>
      </c>
      <c r="P162" s="81">
        <f t="shared" si="35"/>
        <v>0</v>
      </c>
      <c r="Q162" s="79">
        <f t="shared" si="36"/>
        <v>0</v>
      </c>
      <c r="R162" s="80">
        <f t="shared" si="37"/>
        <v>0</v>
      </c>
      <c r="S162" s="82">
        <f t="shared" si="38"/>
        <v>274</v>
      </c>
    </row>
    <row r="163" spans="1:19" hidden="1" x14ac:dyDescent="0.25">
      <c r="A163" s="75">
        <f t="shared" si="20"/>
        <v>44548</v>
      </c>
      <c r="B163" s="76">
        <f t="shared" si="21"/>
        <v>12898</v>
      </c>
      <c r="C163" s="77">
        <f t="shared" si="22"/>
        <v>344</v>
      </c>
      <c r="D163" s="78">
        <f t="shared" si="23"/>
        <v>95.2</v>
      </c>
      <c r="E163" s="79">
        <f t="shared" si="24"/>
        <v>23.8</v>
      </c>
      <c r="F163" s="80">
        <f t="shared" si="25"/>
        <v>119</v>
      </c>
      <c r="G163" s="78">
        <f t="shared" si="26"/>
        <v>8</v>
      </c>
      <c r="H163" s="80">
        <f t="shared" si="27"/>
        <v>10</v>
      </c>
      <c r="I163" s="79">
        <f t="shared" si="28"/>
        <v>2</v>
      </c>
      <c r="J163" s="78">
        <f t="shared" si="29"/>
        <v>0</v>
      </c>
      <c r="K163" s="79">
        <f t="shared" si="30"/>
        <v>0</v>
      </c>
      <c r="L163" s="80">
        <f t="shared" si="31"/>
        <v>0</v>
      </c>
      <c r="M163" s="81">
        <f t="shared" si="32"/>
        <v>0</v>
      </c>
      <c r="N163" s="79">
        <f t="shared" si="33"/>
        <v>0</v>
      </c>
      <c r="O163" s="80">
        <f t="shared" si="34"/>
        <v>0</v>
      </c>
      <c r="P163" s="81">
        <f t="shared" si="35"/>
        <v>1200</v>
      </c>
      <c r="Q163" s="79">
        <f t="shared" si="36"/>
        <v>1200</v>
      </c>
      <c r="R163" s="80">
        <f t="shared" si="37"/>
        <v>9600</v>
      </c>
      <c r="S163" s="82">
        <f t="shared" si="38"/>
        <v>296</v>
      </c>
    </row>
    <row r="164" spans="1:19" hidden="1" x14ac:dyDescent="0.25">
      <c r="A164" s="75">
        <f t="shared" si="20"/>
        <v>44555</v>
      </c>
      <c r="B164" s="76">
        <f t="shared" si="21"/>
        <v>6389</v>
      </c>
      <c r="C164" s="77">
        <f t="shared" si="22"/>
        <v>231</v>
      </c>
      <c r="D164" s="78">
        <f t="shared" si="23"/>
        <v>50.800000000000004</v>
      </c>
      <c r="E164" s="79">
        <f t="shared" si="24"/>
        <v>12.700000000000001</v>
      </c>
      <c r="F164" s="80">
        <f t="shared" si="25"/>
        <v>63.5</v>
      </c>
      <c r="G164" s="78">
        <f t="shared" si="26"/>
        <v>52</v>
      </c>
      <c r="H164" s="80">
        <f t="shared" si="27"/>
        <v>65</v>
      </c>
      <c r="I164" s="79">
        <f t="shared" si="28"/>
        <v>13</v>
      </c>
      <c r="J164" s="78">
        <f t="shared" si="29"/>
        <v>21.6</v>
      </c>
      <c r="K164" s="79">
        <f t="shared" si="30"/>
        <v>5.4</v>
      </c>
      <c r="L164" s="80">
        <f t="shared" si="31"/>
        <v>27</v>
      </c>
      <c r="M164" s="81">
        <f t="shared" si="32"/>
        <v>0</v>
      </c>
      <c r="N164" s="79">
        <f t="shared" si="33"/>
        <v>0</v>
      </c>
      <c r="O164" s="80">
        <f t="shared" si="34"/>
        <v>0</v>
      </c>
      <c r="P164" s="81">
        <f t="shared" si="35"/>
        <v>0</v>
      </c>
      <c r="Q164" s="79">
        <f t="shared" si="36"/>
        <v>0</v>
      </c>
      <c r="R164" s="80">
        <f t="shared" si="37"/>
        <v>0</v>
      </c>
      <c r="S164" s="82">
        <f t="shared" si="38"/>
        <v>5847</v>
      </c>
    </row>
    <row r="165" spans="1:19" hidden="1" x14ac:dyDescent="0.25">
      <c r="A165" s="75">
        <f t="shared" si="20"/>
        <v>44562</v>
      </c>
      <c r="B165" s="76">
        <f t="shared" si="21"/>
        <v>4046.4</v>
      </c>
      <c r="C165" s="77">
        <f t="shared" si="22"/>
        <v>355</v>
      </c>
      <c r="D165" s="78">
        <f t="shared" si="23"/>
        <v>39.200000000000003</v>
      </c>
      <c r="E165" s="79">
        <f t="shared" si="24"/>
        <v>9.8000000000000007</v>
      </c>
      <c r="F165" s="80">
        <f t="shared" si="25"/>
        <v>49</v>
      </c>
      <c r="G165" s="78">
        <f t="shared" si="26"/>
        <v>0</v>
      </c>
      <c r="H165" s="80">
        <f t="shared" si="27"/>
        <v>0</v>
      </c>
      <c r="I165" s="79">
        <f t="shared" si="28"/>
        <v>0</v>
      </c>
      <c r="J165" s="78">
        <f t="shared" si="29"/>
        <v>0</v>
      </c>
      <c r="K165" s="79">
        <f t="shared" si="30"/>
        <v>0</v>
      </c>
      <c r="L165" s="80">
        <f t="shared" si="31"/>
        <v>0</v>
      </c>
      <c r="M165" s="81">
        <f t="shared" si="32"/>
        <v>0</v>
      </c>
      <c r="N165" s="79">
        <f t="shared" si="33"/>
        <v>0</v>
      </c>
      <c r="O165" s="80">
        <f t="shared" si="34"/>
        <v>0</v>
      </c>
      <c r="P165" s="81">
        <f t="shared" si="35"/>
        <v>0</v>
      </c>
      <c r="Q165" s="79">
        <f t="shared" si="36"/>
        <v>0</v>
      </c>
      <c r="R165" s="80">
        <f t="shared" si="37"/>
        <v>0</v>
      </c>
      <c r="S165" s="82">
        <f t="shared" si="38"/>
        <v>3593.4</v>
      </c>
    </row>
    <row r="166" spans="1:19" hidden="1" x14ac:dyDescent="0.25">
      <c r="A166" s="75">
        <f>DATE(YEAR(A165),MONTH(A165),DAY(A165)+7)</f>
        <v>44569</v>
      </c>
      <c r="B166" s="76">
        <f t="shared" si="21"/>
        <v>1648</v>
      </c>
      <c r="C166" s="77">
        <f t="shared" si="22"/>
        <v>608</v>
      </c>
      <c r="D166" s="78">
        <f t="shared" si="23"/>
        <v>134.80000000000001</v>
      </c>
      <c r="E166" s="79">
        <f t="shared" si="24"/>
        <v>33.700000000000003</v>
      </c>
      <c r="F166" s="80">
        <f t="shared" si="25"/>
        <v>168.5</v>
      </c>
      <c r="G166" s="78">
        <f t="shared" si="26"/>
        <v>16</v>
      </c>
      <c r="H166" s="80">
        <f t="shared" si="27"/>
        <v>20</v>
      </c>
      <c r="I166" s="79">
        <f t="shared" si="28"/>
        <v>4</v>
      </c>
      <c r="J166" s="78">
        <f t="shared" si="29"/>
        <v>20</v>
      </c>
      <c r="K166" s="79">
        <f t="shared" si="30"/>
        <v>5</v>
      </c>
      <c r="L166" s="80">
        <f t="shared" si="31"/>
        <v>25</v>
      </c>
      <c r="M166" s="81">
        <f t="shared" si="32"/>
        <v>0</v>
      </c>
      <c r="N166" s="79">
        <f t="shared" si="33"/>
        <v>0</v>
      </c>
      <c r="O166" s="80">
        <f t="shared" si="34"/>
        <v>0</v>
      </c>
      <c r="P166" s="81">
        <f t="shared" si="35"/>
        <v>0</v>
      </c>
      <c r="Q166" s="79">
        <f t="shared" si="36"/>
        <v>0</v>
      </c>
      <c r="R166" s="80">
        <f t="shared" si="37"/>
        <v>0</v>
      </c>
      <c r="S166" s="82">
        <f t="shared" si="38"/>
        <v>613</v>
      </c>
    </row>
    <row r="167" spans="1:19" hidden="1" x14ac:dyDescent="0.25">
      <c r="A167" s="75">
        <f t="shared" ref="A167:A217" si="39">DATE(YEAR(A166),MONTH(A166),DAY(A166)+7)</f>
        <v>44576</v>
      </c>
      <c r="B167" s="76">
        <f t="shared" si="21"/>
        <v>682.7</v>
      </c>
      <c r="C167" s="77">
        <f t="shared" si="22"/>
        <v>215</v>
      </c>
      <c r="D167" s="78">
        <f t="shared" si="23"/>
        <v>62</v>
      </c>
      <c r="E167" s="79">
        <f t="shared" si="24"/>
        <v>15.5</v>
      </c>
      <c r="F167" s="80">
        <f t="shared" si="25"/>
        <v>77.5</v>
      </c>
      <c r="G167" s="78">
        <f t="shared" si="26"/>
        <v>12</v>
      </c>
      <c r="H167" s="80">
        <f t="shared" si="27"/>
        <v>15</v>
      </c>
      <c r="I167" s="79">
        <f t="shared" si="28"/>
        <v>3</v>
      </c>
      <c r="J167" s="78">
        <f t="shared" si="29"/>
        <v>21.200000000000003</v>
      </c>
      <c r="K167" s="79">
        <f t="shared" si="30"/>
        <v>5.3000000000000007</v>
      </c>
      <c r="L167" s="80">
        <f t="shared" si="31"/>
        <v>26.5</v>
      </c>
      <c r="M167" s="81">
        <f t="shared" si="32"/>
        <v>0</v>
      </c>
      <c r="N167" s="79">
        <f t="shared" si="33"/>
        <v>0</v>
      </c>
      <c r="O167" s="80">
        <f t="shared" si="34"/>
        <v>0</v>
      </c>
      <c r="P167" s="81">
        <f t="shared" si="35"/>
        <v>0</v>
      </c>
      <c r="Q167" s="79">
        <f t="shared" si="36"/>
        <v>0</v>
      </c>
      <c r="R167" s="80">
        <f t="shared" si="37"/>
        <v>0</v>
      </c>
      <c r="S167" s="82">
        <f t="shared" si="38"/>
        <v>229.7</v>
      </c>
    </row>
    <row r="168" spans="1:19" hidden="1" x14ac:dyDescent="0.25">
      <c r="A168" s="75">
        <f t="shared" si="39"/>
        <v>44583</v>
      </c>
      <c r="B168" s="76">
        <f t="shared" si="21"/>
        <v>1206.5</v>
      </c>
      <c r="C168" s="77">
        <f t="shared" si="22"/>
        <v>281.5</v>
      </c>
      <c r="D168" s="78">
        <f t="shared" si="23"/>
        <v>86.800000000000011</v>
      </c>
      <c r="E168" s="79">
        <f t="shared" si="24"/>
        <v>21.700000000000003</v>
      </c>
      <c r="F168" s="80">
        <f t="shared" si="25"/>
        <v>108.5</v>
      </c>
      <c r="G168" s="78">
        <f t="shared" si="26"/>
        <v>6</v>
      </c>
      <c r="H168" s="80">
        <f t="shared" si="27"/>
        <v>7.5</v>
      </c>
      <c r="I168" s="79">
        <f t="shared" si="28"/>
        <v>1.5</v>
      </c>
      <c r="J168" s="78">
        <f t="shared" si="29"/>
        <v>20</v>
      </c>
      <c r="K168" s="79">
        <f t="shared" si="30"/>
        <v>5</v>
      </c>
      <c r="L168" s="80">
        <f t="shared" si="31"/>
        <v>25</v>
      </c>
      <c r="M168" s="81">
        <f t="shared" si="32"/>
        <v>0</v>
      </c>
      <c r="N168" s="79">
        <f t="shared" si="33"/>
        <v>0</v>
      </c>
      <c r="O168" s="80">
        <f t="shared" si="34"/>
        <v>0</v>
      </c>
      <c r="P168" s="81">
        <f t="shared" si="35"/>
        <v>0</v>
      </c>
      <c r="Q168" s="79">
        <f t="shared" si="36"/>
        <v>0</v>
      </c>
      <c r="R168" s="80">
        <f t="shared" si="37"/>
        <v>0</v>
      </c>
      <c r="S168" s="82">
        <f t="shared" si="38"/>
        <v>643</v>
      </c>
    </row>
    <row r="169" spans="1:19" hidden="1" x14ac:dyDescent="0.25">
      <c r="A169" s="75">
        <f t="shared" si="39"/>
        <v>44590</v>
      </c>
      <c r="B169" s="76">
        <f t="shared" si="21"/>
        <v>861</v>
      </c>
      <c r="C169" s="77">
        <f t="shared" si="22"/>
        <v>293</v>
      </c>
      <c r="D169" s="78">
        <f t="shared" si="23"/>
        <v>52.400000000000006</v>
      </c>
      <c r="E169" s="79">
        <f t="shared" si="24"/>
        <v>13.100000000000001</v>
      </c>
      <c r="F169" s="80">
        <f t="shared" si="25"/>
        <v>65.5</v>
      </c>
      <c r="G169" s="78">
        <f t="shared" si="26"/>
        <v>18</v>
      </c>
      <c r="H169" s="80">
        <f t="shared" si="27"/>
        <v>22.5</v>
      </c>
      <c r="I169" s="79">
        <f t="shared" si="28"/>
        <v>4.5</v>
      </c>
      <c r="J169" s="78">
        <f t="shared" si="29"/>
        <v>29.6</v>
      </c>
      <c r="K169" s="79">
        <f t="shared" si="30"/>
        <v>7.4</v>
      </c>
      <c r="L169" s="80">
        <f t="shared" si="31"/>
        <v>37</v>
      </c>
      <c r="M169" s="81">
        <f t="shared" si="32"/>
        <v>0</v>
      </c>
      <c r="N169" s="79">
        <f t="shared" si="33"/>
        <v>0</v>
      </c>
      <c r="O169" s="80">
        <f t="shared" si="34"/>
        <v>0</v>
      </c>
      <c r="P169" s="81">
        <f t="shared" si="35"/>
        <v>0</v>
      </c>
      <c r="Q169" s="79">
        <f t="shared" si="36"/>
        <v>0</v>
      </c>
      <c r="R169" s="80">
        <f t="shared" si="37"/>
        <v>0</v>
      </c>
      <c r="S169" s="82">
        <f t="shared" si="38"/>
        <v>318</v>
      </c>
    </row>
    <row r="170" spans="1:19" hidden="1" x14ac:dyDescent="0.25">
      <c r="A170" s="75">
        <f t="shared" si="39"/>
        <v>44597</v>
      </c>
      <c r="B170" s="76">
        <f t="shared" si="21"/>
        <v>1051</v>
      </c>
      <c r="C170" s="77">
        <f t="shared" si="22"/>
        <v>226</v>
      </c>
      <c r="D170" s="78">
        <f t="shared" si="23"/>
        <v>57.2</v>
      </c>
      <c r="E170" s="79">
        <f t="shared" si="24"/>
        <v>14.3</v>
      </c>
      <c r="F170" s="80">
        <f t="shared" si="25"/>
        <v>71.5</v>
      </c>
      <c r="G170" s="78">
        <f t="shared" si="26"/>
        <v>20</v>
      </c>
      <c r="H170" s="80">
        <f t="shared" si="27"/>
        <v>25</v>
      </c>
      <c r="I170" s="79">
        <f t="shared" si="28"/>
        <v>5</v>
      </c>
      <c r="J170" s="78">
        <f t="shared" si="29"/>
        <v>40.800000000000004</v>
      </c>
      <c r="K170" s="79">
        <f t="shared" si="30"/>
        <v>10.200000000000001</v>
      </c>
      <c r="L170" s="80">
        <f t="shared" si="31"/>
        <v>51</v>
      </c>
      <c r="M170" s="81">
        <f t="shared" si="32"/>
        <v>0</v>
      </c>
      <c r="N170" s="79">
        <f t="shared" si="33"/>
        <v>0</v>
      </c>
      <c r="O170" s="80">
        <f t="shared" si="34"/>
        <v>0</v>
      </c>
      <c r="P170" s="81">
        <f t="shared" si="35"/>
        <v>0</v>
      </c>
      <c r="Q170" s="79">
        <f t="shared" si="36"/>
        <v>0</v>
      </c>
      <c r="R170" s="80">
        <f t="shared" si="37"/>
        <v>0</v>
      </c>
      <c r="S170" s="82">
        <f t="shared" si="38"/>
        <v>530</v>
      </c>
    </row>
    <row r="171" spans="1:19" hidden="1" x14ac:dyDescent="0.25">
      <c r="A171" s="75">
        <f t="shared" si="39"/>
        <v>44604</v>
      </c>
      <c r="B171" s="76">
        <f t="shared" si="21"/>
        <v>585</v>
      </c>
      <c r="C171" s="77">
        <f t="shared" si="22"/>
        <v>203</v>
      </c>
      <c r="D171" s="78">
        <f t="shared" si="23"/>
        <v>24.400000000000002</v>
      </c>
      <c r="E171" s="79">
        <f t="shared" si="24"/>
        <v>6.1000000000000005</v>
      </c>
      <c r="F171" s="80">
        <f t="shared" si="25"/>
        <v>30.5</v>
      </c>
      <c r="G171" s="78">
        <f t="shared" si="26"/>
        <v>6</v>
      </c>
      <c r="H171" s="80">
        <f t="shared" si="27"/>
        <v>7.5</v>
      </c>
      <c r="I171" s="79">
        <f t="shared" si="28"/>
        <v>1.5</v>
      </c>
      <c r="J171" s="78">
        <f t="shared" si="29"/>
        <v>20</v>
      </c>
      <c r="K171" s="79">
        <f t="shared" si="30"/>
        <v>5</v>
      </c>
      <c r="L171" s="80">
        <f t="shared" si="31"/>
        <v>25</v>
      </c>
      <c r="M171" s="81">
        <f t="shared" si="32"/>
        <v>0</v>
      </c>
      <c r="N171" s="79">
        <f t="shared" si="33"/>
        <v>0</v>
      </c>
      <c r="O171" s="80">
        <f t="shared" si="34"/>
        <v>0</v>
      </c>
      <c r="P171" s="81">
        <f t="shared" si="35"/>
        <v>0</v>
      </c>
      <c r="Q171" s="79">
        <f t="shared" si="36"/>
        <v>0</v>
      </c>
      <c r="R171" s="80">
        <f t="shared" si="37"/>
        <v>0</v>
      </c>
      <c r="S171" s="82">
        <f t="shared" si="38"/>
        <v>256</v>
      </c>
    </row>
    <row r="172" spans="1:19" hidden="1" x14ac:dyDescent="0.25">
      <c r="A172" s="75">
        <f t="shared" si="39"/>
        <v>44611</v>
      </c>
      <c r="B172" s="76">
        <f t="shared" si="21"/>
        <v>1035</v>
      </c>
      <c r="C172" s="77">
        <f t="shared" si="22"/>
        <v>336</v>
      </c>
      <c r="D172" s="78">
        <f t="shared" si="23"/>
        <v>90.4</v>
      </c>
      <c r="E172" s="79">
        <f t="shared" si="24"/>
        <v>22.6</v>
      </c>
      <c r="F172" s="80">
        <f t="shared" si="25"/>
        <v>113</v>
      </c>
      <c r="G172" s="78">
        <f t="shared" si="26"/>
        <v>4</v>
      </c>
      <c r="H172" s="80">
        <f t="shared" si="27"/>
        <v>5</v>
      </c>
      <c r="I172" s="79">
        <f t="shared" si="28"/>
        <v>1</v>
      </c>
      <c r="J172" s="78">
        <f t="shared" si="29"/>
        <v>14.8</v>
      </c>
      <c r="K172" s="79">
        <f t="shared" si="30"/>
        <v>3.7</v>
      </c>
      <c r="L172" s="80">
        <f t="shared" si="31"/>
        <v>18.5</v>
      </c>
      <c r="M172" s="81">
        <f t="shared" si="32"/>
        <v>0</v>
      </c>
      <c r="N172" s="79">
        <f t="shared" si="33"/>
        <v>0</v>
      </c>
      <c r="O172" s="80">
        <f t="shared" si="34"/>
        <v>0</v>
      </c>
      <c r="P172" s="81">
        <f t="shared" si="35"/>
        <v>0</v>
      </c>
      <c r="Q172" s="79">
        <f t="shared" si="36"/>
        <v>0</v>
      </c>
      <c r="R172" s="80">
        <f t="shared" si="37"/>
        <v>0</v>
      </c>
      <c r="S172" s="82">
        <f t="shared" si="38"/>
        <v>426</v>
      </c>
    </row>
    <row r="173" spans="1:19" hidden="1" x14ac:dyDescent="0.25">
      <c r="A173" s="75">
        <f t="shared" si="39"/>
        <v>44618</v>
      </c>
      <c r="B173" s="76">
        <f t="shared" si="21"/>
        <v>1200</v>
      </c>
      <c r="C173" s="77">
        <f t="shared" si="22"/>
        <v>327</v>
      </c>
      <c r="D173" s="78">
        <f t="shared" si="23"/>
        <v>93.2</v>
      </c>
      <c r="E173" s="79">
        <f t="shared" si="24"/>
        <v>23.3</v>
      </c>
      <c r="F173" s="80">
        <f t="shared" si="25"/>
        <v>116.5</v>
      </c>
      <c r="G173" s="78">
        <f t="shared" si="26"/>
        <v>16</v>
      </c>
      <c r="H173" s="80">
        <f t="shared" si="27"/>
        <v>20</v>
      </c>
      <c r="I173" s="79">
        <f t="shared" si="28"/>
        <v>4</v>
      </c>
      <c r="J173" s="78">
        <f t="shared" si="29"/>
        <v>8.4</v>
      </c>
      <c r="K173" s="79">
        <f t="shared" si="30"/>
        <v>2.1</v>
      </c>
      <c r="L173" s="80">
        <f t="shared" si="31"/>
        <v>10.5</v>
      </c>
      <c r="M173" s="81">
        <f t="shared" si="32"/>
        <v>0</v>
      </c>
      <c r="N173" s="79">
        <f t="shared" si="33"/>
        <v>0</v>
      </c>
      <c r="O173" s="80">
        <f t="shared" si="34"/>
        <v>0</v>
      </c>
      <c r="P173" s="81">
        <f t="shared" si="35"/>
        <v>0</v>
      </c>
      <c r="Q173" s="79">
        <f t="shared" si="36"/>
        <v>0</v>
      </c>
      <c r="R173" s="80">
        <f t="shared" si="37"/>
        <v>0</v>
      </c>
      <c r="S173" s="82">
        <f t="shared" si="38"/>
        <v>579</v>
      </c>
    </row>
    <row r="174" spans="1:19" hidden="1" x14ac:dyDescent="0.25">
      <c r="A174" s="75">
        <f t="shared" si="39"/>
        <v>44625</v>
      </c>
      <c r="B174" s="76">
        <f t="shared" si="21"/>
        <v>1418</v>
      </c>
      <c r="C174" s="77">
        <f t="shared" si="22"/>
        <v>328</v>
      </c>
      <c r="D174" s="78">
        <f t="shared" si="23"/>
        <v>80.400000000000006</v>
      </c>
      <c r="E174" s="79">
        <f t="shared" si="24"/>
        <v>20.100000000000001</v>
      </c>
      <c r="F174" s="80">
        <f t="shared" si="25"/>
        <v>100.5</v>
      </c>
      <c r="G174" s="78">
        <f t="shared" si="26"/>
        <v>21.6</v>
      </c>
      <c r="H174" s="80">
        <f t="shared" si="27"/>
        <v>27</v>
      </c>
      <c r="I174" s="79">
        <f t="shared" si="28"/>
        <v>5.4</v>
      </c>
      <c r="J174" s="78">
        <f t="shared" si="29"/>
        <v>18.400000000000002</v>
      </c>
      <c r="K174" s="79">
        <f t="shared" si="30"/>
        <v>4.6000000000000005</v>
      </c>
      <c r="L174" s="80">
        <f t="shared" si="31"/>
        <v>23</v>
      </c>
      <c r="M174" s="81">
        <f t="shared" si="32"/>
        <v>0</v>
      </c>
      <c r="N174" s="79">
        <f t="shared" si="33"/>
        <v>0</v>
      </c>
      <c r="O174" s="80">
        <f t="shared" si="34"/>
        <v>0</v>
      </c>
      <c r="P174" s="81">
        <f t="shared" si="35"/>
        <v>0</v>
      </c>
      <c r="Q174" s="79">
        <f t="shared" si="36"/>
        <v>0</v>
      </c>
      <c r="R174" s="80">
        <f t="shared" si="37"/>
        <v>0</v>
      </c>
      <c r="S174" s="82">
        <f t="shared" si="38"/>
        <v>789</v>
      </c>
    </row>
    <row r="175" spans="1:19" hidden="1" x14ac:dyDescent="0.25">
      <c r="A175" s="75">
        <f t="shared" si="39"/>
        <v>44632</v>
      </c>
      <c r="B175" s="76">
        <f t="shared" si="21"/>
        <v>0</v>
      </c>
      <c r="C175" s="77">
        <f t="shared" si="22"/>
        <v>0</v>
      </c>
      <c r="D175" s="78">
        <f t="shared" si="23"/>
        <v>0</v>
      </c>
      <c r="E175" s="79">
        <f t="shared" si="24"/>
        <v>0</v>
      </c>
      <c r="F175" s="80">
        <f t="shared" si="25"/>
        <v>0</v>
      </c>
      <c r="G175" s="78">
        <f t="shared" si="26"/>
        <v>0</v>
      </c>
      <c r="H175" s="80">
        <f t="shared" si="27"/>
        <v>0</v>
      </c>
      <c r="I175" s="79">
        <f t="shared" si="28"/>
        <v>0</v>
      </c>
      <c r="J175" s="78">
        <f t="shared" si="29"/>
        <v>0</v>
      </c>
      <c r="K175" s="79">
        <f t="shared" si="30"/>
        <v>0</v>
      </c>
      <c r="L175" s="80">
        <f t="shared" si="31"/>
        <v>0</v>
      </c>
      <c r="M175" s="81">
        <f t="shared" si="32"/>
        <v>0</v>
      </c>
      <c r="N175" s="79">
        <f t="shared" si="33"/>
        <v>0</v>
      </c>
      <c r="O175" s="80">
        <f t="shared" si="34"/>
        <v>0</v>
      </c>
      <c r="P175" s="81">
        <f t="shared" si="35"/>
        <v>0</v>
      </c>
      <c r="Q175" s="79">
        <f t="shared" si="36"/>
        <v>0</v>
      </c>
      <c r="R175" s="80">
        <f t="shared" si="37"/>
        <v>0</v>
      </c>
      <c r="S175" s="82">
        <f t="shared" si="38"/>
        <v>0</v>
      </c>
    </row>
    <row r="176" spans="1:19" hidden="1" x14ac:dyDescent="0.25">
      <c r="A176" s="75">
        <f t="shared" si="39"/>
        <v>44639</v>
      </c>
      <c r="B176" s="76">
        <f t="shared" si="21"/>
        <v>1611</v>
      </c>
      <c r="C176" s="77">
        <f t="shared" si="22"/>
        <v>384</v>
      </c>
      <c r="D176" s="78">
        <f t="shared" si="23"/>
        <v>108.4</v>
      </c>
      <c r="E176" s="79">
        <f t="shared" si="24"/>
        <v>27.1</v>
      </c>
      <c r="F176" s="80">
        <f t="shared" si="25"/>
        <v>135.5</v>
      </c>
      <c r="G176" s="78">
        <f t="shared" si="26"/>
        <v>42</v>
      </c>
      <c r="H176" s="80">
        <f t="shared" si="27"/>
        <v>52.5</v>
      </c>
      <c r="I176" s="79">
        <f t="shared" si="28"/>
        <v>10.5</v>
      </c>
      <c r="J176" s="78">
        <f t="shared" si="29"/>
        <v>36.800000000000004</v>
      </c>
      <c r="K176" s="79">
        <f t="shared" si="30"/>
        <v>9.2000000000000011</v>
      </c>
      <c r="L176" s="80">
        <f t="shared" si="31"/>
        <v>46</v>
      </c>
      <c r="M176" s="81">
        <f t="shared" si="32"/>
        <v>0</v>
      </c>
      <c r="N176" s="79">
        <f t="shared" si="33"/>
        <v>0</v>
      </c>
      <c r="O176" s="80">
        <f t="shared" si="34"/>
        <v>0</v>
      </c>
      <c r="P176" s="81">
        <f t="shared" si="35"/>
        <v>0</v>
      </c>
      <c r="Q176" s="79">
        <f t="shared" si="36"/>
        <v>0</v>
      </c>
      <c r="R176" s="80">
        <f t="shared" si="37"/>
        <v>0</v>
      </c>
      <c r="S176" s="82">
        <f t="shared" si="38"/>
        <v>759</v>
      </c>
    </row>
    <row r="177" spans="1:19" hidden="1" x14ac:dyDescent="0.25">
      <c r="A177" s="75">
        <f t="shared" si="39"/>
        <v>44646</v>
      </c>
      <c r="B177" s="76">
        <f t="shared" si="21"/>
        <v>2046</v>
      </c>
      <c r="C177" s="77">
        <f t="shared" si="22"/>
        <v>311</v>
      </c>
      <c r="D177" s="78">
        <f t="shared" si="23"/>
        <v>77.2</v>
      </c>
      <c r="E177" s="79">
        <f t="shared" si="24"/>
        <v>19.3</v>
      </c>
      <c r="F177" s="80">
        <f t="shared" si="25"/>
        <v>96.5</v>
      </c>
      <c r="G177" s="78">
        <f t="shared" si="26"/>
        <v>20</v>
      </c>
      <c r="H177" s="80">
        <f t="shared" si="27"/>
        <v>25</v>
      </c>
      <c r="I177" s="79">
        <f t="shared" si="28"/>
        <v>5</v>
      </c>
      <c r="J177" s="78">
        <f t="shared" si="29"/>
        <v>24</v>
      </c>
      <c r="K177" s="79">
        <f t="shared" si="30"/>
        <v>6</v>
      </c>
      <c r="L177" s="80">
        <f t="shared" si="31"/>
        <v>30</v>
      </c>
      <c r="M177" s="81">
        <f t="shared" si="32"/>
        <v>0</v>
      </c>
      <c r="N177" s="79">
        <f t="shared" si="33"/>
        <v>0</v>
      </c>
      <c r="O177" s="80">
        <f t="shared" si="34"/>
        <v>0</v>
      </c>
      <c r="P177" s="81">
        <f t="shared" si="35"/>
        <v>0</v>
      </c>
      <c r="Q177" s="79">
        <f t="shared" si="36"/>
        <v>0</v>
      </c>
      <c r="R177" s="80">
        <f t="shared" si="37"/>
        <v>0</v>
      </c>
      <c r="S177" s="82">
        <f t="shared" si="38"/>
        <v>1432</v>
      </c>
    </row>
    <row r="178" spans="1:19" hidden="1" x14ac:dyDescent="0.25">
      <c r="A178" s="75">
        <f t="shared" si="39"/>
        <v>44653</v>
      </c>
      <c r="B178" s="76">
        <f t="shared" ref="B178:B209" si="40">K66</f>
        <v>1141.5</v>
      </c>
      <c r="C178" s="77">
        <f t="shared" ref="C178:C209" si="41">B66</f>
        <v>247</v>
      </c>
      <c r="D178" s="78">
        <f t="shared" ref="D178:D209" si="42">0.4*C66</f>
        <v>71.600000000000009</v>
      </c>
      <c r="E178" s="79">
        <f t="shared" ref="E178:E209" si="43">0.1*C66</f>
        <v>17.900000000000002</v>
      </c>
      <c r="F178" s="80">
        <f t="shared" ref="F178:F209" si="44">0.5*C66</f>
        <v>89.5</v>
      </c>
      <c r="G178" s="78">
        <f t="shared" ref="G178:G209" si="45">0.4*D66</f>
        <v>6.8000000000000007</v>
      </c>
      <c r="H178" s="80">
        <f t="shared" ref="H178:H209" si="46">0.5*D66</f>
        <v>8.5</v>
      </c>
      <c r="I178" s="79">
        <f t="shared" ref="I178:I209" si="47">0.1*D66</f>
        <v>1.7000000000000002</v>
      </c>
      <c r="J178" s="78">
        <f t="shared" ref="J178:J209" si="48">0.4*E66</f>
        <v>30.400000000000002</v>
      </c>
      <c r="K178" s="79">
        <f t="shared" ref="K178:K209" si="49">0.1*E66</f>
        <v>7.6000000000000005</v>
      </c>
      <c r="L178" s="80">
        <f t="shared" ref="L178:L209" si="50">0.5*E66</f>
        <v>38</v>
      </c>
      <c r="M178" s="81">
        <f t="shared" ref="M178:M209" si="51">PRODUCT(I66*(1/3))</f>
        <v>0</v>
      </c>
      <c r="N178" s="79">
        <f t="shared" ref="N178:N209" si="52">PRODUCT(I66*(1/3))</f>
        <v>0</v>
      </c>
      <c r="O178" s="80">
        <f t="shared" ref="O178:O209" si="53">PRODUCT(I66*(1/3))</f>
        <v>0</v>
      </c>
      <c r="P178" s="81">
        <f t="shared" ref="P178:P209" si="54">J66*0.1</f>
        <v>0</v>
      </c>
      <c r="Q178" s="79">
        <f t="shared" ref="Q178:Q209" si="55">J66*0.1</f>
        <v>0</v>
      </c>
      <c r="R178" s="80">
        <f t="shared" ref="R178:R209" si="56">J66*0.8</f>
        <v>0</v>
      </c>
      <c r="S178" s="82">
        <f t="shared" ref="S178:S209" si="57">SUM(F66:H66)</f>
        <v>622.5</v>
      </c>
    </row>
    <row r="179" spans="1:19" hidden="1" x14ac:dyDescent="0.25">
      <c r="A179" s="75">
        <f t="shared" si="39"/>
        <v>44660</v>
      </c>
      <c r="B179" s="76">
        <f t="shared" si="40"/>
        <v>852.2</v>
      </c>
      <c r="C179" s="77">
        <f t="shared" si="41"/>
        <v>151</v>
      </c>
      <c r="D179" s="78">
        <f t="shared" si="42"/>
        <v>51.2</v>
      </c>
      <c r="E179" s="79">
        <f t="shared" si="43"/>
        <v>12.8</v>
      </c>
      <c r="F179" s="80">
        <f t="shared" si="44"/>
        <v>64</v>
      </c>
      <c r="G179" s="78">
        <f t="shared" si="45"/>
        <v>0</v>
      </c>
      <c r="H179" s="80">
        <f t="shared" si="46"/>
        <v>0</v>
      </c>
      <c r="I179" s="79">
        <f t="shared" si="47"/>
        <v>0</v>
      </c>
      <c r="J179" s="78">
        <f t="shared" si="48"/>
        <v>24.400000000000002</v>
      </c>
      <c r="K179" s="79">
        <f t="shared" si="49"/>
        <v>6.1000000000000005</v>
      </c>
      <c r="L179" s="80">
        <f t="shared" si="50"/>
        <v>30.5</v>
      </c>
      <c r="M179" s="81">
        <f t="shared" si="51"/>
        <v>0</v>
      </c>
      <c r="N179" s="79">
        <f t="shared" si="52"/>
        <v>0</v>
      </c>
      <c r="O179" s="80">
        <f t="shared" si="53"/>
        <v>0</v>
      </c>
      <c r="P179" s="81">
        <f t="shared" si="54"/>
        <v>0</v>
      </c>
      <c r="Q179" s="79">
        <f t="shared" si="55"/>
        <v>0</v>
      </c>
      <c r="R179" s="80">
        <f t="shared" si="56"/>
        <v>0</v>
      </c>
      <c r="S179" s="82">
        <f t="shared" si="57"/>
        <v>512.20000000000005</v>
      </c>
    </row>
    <row r="180" spans="1:19" hidden="1" x14ac:dyDescent="0.25">
      <c r="A180" s="75">
        <f t="shared" si="39"/>
        <v>44667</v>
      </c>
      <c r="B180" s="76">
        <f t="shared" si="40"/>
        <v>1222</v>
      </c>
      <c r="C180" s="77">
        <f t="shared" si="41"/>
        <v>223</v>
      </c>
      <c r="D180" s="78">
        <f t="shared" si="42"/>
        <v>81.2</v>
      </c>
      <c r="E180" s="79">
        <f t="shared" si="43"/>
        <v>20.3</v>
      </c>
      <c r="F180" s="80">
        <f t="shared" si="44"/>
        <v>101.5</v>
      </c>
      <c r="G180" s="78">
        <f t="shared" si="45"/>
        <v>12</v>
      </c>
      <c r="H180" s="80">
        <f t="shared" si="46"/>
        <v>15</v>
      </c>
      <c r="I180" s="79">
        <f t="shared" si="47"/>
        <v>3</v>
      </c>
      <c r="J180" s="78">
        <f t="shared" si="48"/>
        <v>33.6</v>
      </c>
      <c r="K180" s="79">
        <f t="shared" si="49"/>
        <v>8.4</v>
      </c>
      <c r="L180" s="80">
        <f t="shared" si="50"/>
        <v>42</v>
      </c>
      <c r="M180" s="81">
        <f t="shared" si="51"/>
        <v>0</v>
      </c>
      <c r="N180" s="79">
        <f t="shared" si="52"/>
        <v>0</v>
      </c>
      <c r="O180" s="80">
        <f t="shared" si="53"/>
        <v>0</v>
      </c>
      <c r="P180" s="81">
        <f t="shared" si="54"/>
        <v>0</v>
      </c>
      <c r="Q180" s="79">
        <f t="shared" si="55"/>
        <v>0</v>
      </c>
      <c r="R180" s="80">
        <f t="shared" si="56"/>
        <v>0</v>
      </c>
      <c r="S180" s="82">
        <f t="shared" si="57"/>
        <v>682</v>
      </c>
    </row>
    <row r="181" spans="1:19" hidden="1" x14ac:dyDescent="0.25">
      <c r="A181" s="75">
        <f t="shared" si="39"/>
        <v>44674</v>
      </c>
      <c r="B181" s="76">
        <f t="shared" si="40"/>
        <v>1220.7</v>
      </c>
      <c r="C181" s="77">
        <f t="shared" si="41"/>
        <v>208</v>
      </c>
      <c r="D181" s="78">
        <f t="shared" si="42"/>
        <v>30.8</v>
      </c>
      <c r="E181" s="79">
        <f t="shared" si="43"/>
        <v>7.7</v>
      </c>
      <c r="F181" s="80">
        <f t="shared" si="44"/>
        <v>38.5</v>
      </c>
      <c r="G181" s="78">
        <f t="shared" si="45"/>
        <v>6</v>
      </c>
      <c r="H181" s="80">
        <f t="shared" si="46"/>
        <v>7.5</v>
      </c>
      <c r="I181" s="79">
        <f t="shared" si="47"/>
        <v>1.5</v>
      </c>
      <c r="J181" s="78">
        <f t="shared" si="48"/>
        <v>0</v>
      </c>
      <c r="K181" s="79">
        <f t="shared" si="49"/>
        <v>0</v>
      </c>
      <c r="L181" s="80">
        <f t="shared" si="50"/>
        <v>0</v>
      </c>
      <c r="M181" s="81">
        <f t="shared" si="51"/>
        <v>0</v>
      </c>
      <c r="N181" s="79">
        <f t="shared" si="52"/>
        <v>0</v>
      </c>
      <c r="O181" s="80">
        <f t="shared" si="53"/>
        <v>0</v>
      </c>
      <c r="P181" s="81">
        <f t="shared" si="54"/>
        <v>0</v>
      </c>
      <c r="Q181" s="79">
        <f t="shared" si="55"/>
        <v>0</v>
      </c>
      <c r="R181" s="80">
        <f t="shared" si="56"/>
        <v>0</v>
      </c>
      <c r="S181" s="82">
        <f t="shared" si="57"/>
        <v>920.7</v>
      </c>
    </row>
    <row r="182" spans="1:19" hidden="1" x14ac:dyDescent="0.25">
      <c r="A182" s="75">
        <f t="shared" si="39"/>
        <v>44681</v>
      </c>
      <c r="B182" s="76">
        <f t="shared" si="40"/>
        <v>1813</v>
      </c>
      <c r="C182" s="77">
        <f t="shared" si="41"/>
        <v>311</v>
      </c>
      <c r="D182" s="78">
        <f t="shared" si="42"/>
        <v>94.800000000000011</v>
      </c>
      <c r="E182" s="79">
        <f t="shared" si="43"/>
        <v>23.700000000000003</v>
      </c>
      <c r="F182" s="80">
        <f t="shared" si="44"/>
        <v>118.5</v>
      </c>
      <c r="G182" s="78">
        <f t="shared" si="45"/>
        <v>20</v>
      </c>
      <c r="H182" s="80">
        <f t="shared" si="46"/>
        <v>25</v>
      </c>
      <c r="I182" s="79">
        <f t="shared" si="47"/>
        <v>5</v>
      </c>
      <c r="J182" s="78">
        <f t="shared" si="48"/>
        <v>49.2</v>
      </c>
      <c r="K182" s="79">
        <f t="shared" si="49"/>
        <v>12.3</v>
      </c>
      <c r="L182" s="80">
        <f t="shared" si="50"/>
        <v>61.5</v>
      </c>
      <c r="M182" s="81">
        <f t="shared" si="51"/>
        <v>0</v>
      </c>
      <c r="N182" s="79">
        <f t="shared" si="52"/>
        <v>0</v>
      </c>
      <c r="O182" s="80">
        <f t="shared" si="53"/>
        <v>0</v>
      </c>
      <c r="P182" s="81">
        <f t="shared" si="54"/>
        <v>0</v>
      </c>
      <c r="Q182" s="79">
        <f t="shared" si="55"/>
        <v>0</v>
      </c>
      <c r="R182" s="80">
        <f t="shared" si="56"/>
        <v>0</v>
      </c>
      <c r="S182" s="82">
        <f t="shared" si="57"/>
        <v>1092</v>
      </c>
    </row>
    <row r="183" spans="1:19" hidden="1" x14ac:dyDescent="0.25">
      <c r="A183" s="75">
        <f t="shared" si="39"/>
        <v>44688</v>
      </c>
      <c r="B183" s="76">
        <f t="shared" si="40"/>
        <v>7486.26</v>
      </c>
      <c r="C183" s="77">
        <f t="shared" si="41"/>
        <v>282</v>
      </c>
      <c r="D183" s="78">
        <f t="shared" si="42"/>
        <v>70.400000000000006</v>
      </c>
      <c r="E183" s="79">
        <f t="shared" si="43"/>
        <v>17.600000000000001</v>
      </c>
      <c r="F183" s="80">
        <f t="shared" si="44"/>
        <v>88</v>
      </c>
      <c r="G183" s="78">
        <f t="shared" si="45"/>
        <v>20</v>
      </c>
      <c r="H183" s="80">
        <f t="shared" si="46"/>
        <v>25</v>
      </c>
      <c r="I183" s="79">
        <f t="shared" si="47"/>
        <v>5</v>
      </c>
      <c r="J183" s="78">
        <f t="shared" si="48"/>
        <v>29.6</v>
      </c>
      <c r="K183" s="79">
        <f t="shared" si="49"/>
        <v>7.4</v>
      </c>
      <c r="L183" s="80">
        <f t="shared" si="50"/>
        <v>37</v>
      </c>
      <c r="M183" s="81">
        <f t="shared" si="51"/>
        <v>0</v>
      </c>
      <c r="N183" s="79">
        <f t="shared" si="52"/>
        <v>0</v>
      </c>
      <c r="O183" s="80">
        <f t="shared" si="53"/>
        <v>0</v>
      </c>
      <c r="P183" s="81">
        <f t="shared" si="54"/>
        <v>0</v>
      </c>
      <c r="Q183" s="79">
        <f t="shared" si="55"/>
        <v>0</v>
      </c>
      <c r="R183" s="80">
        <f t="shared" si="56"/>
        <v>0</v>
      </c>
      <c r="S183" s="82">
        <f t="shared" si="57"/>
        <v>6904.26</v>
      </c>
    </row>
    <row r="184" spans="1:19" hidden="1" x14ac:dyDescent="0.25">
      <c r="A184" s="75">
        <f t="shared" si="39"/>
        <v>44695</v>
      </c>
      <c r="B184" s="76">
        <f t="shared" si="40"/>
        <v>1319</v>
      </c>
      <c r="C184" s="77">
        <f t="shared" si="41"/>
        <v>540</v>
      </c>
      <c r="D184" s="78">
        <f t="shared" si="42"/>
        <v>150</v>
      </c>
      <c r="E184" s="79">
        <f t="shared" si="43"/>
        <v>37.5</v>
      </c>
      <c r="F184" s="80">
        <f t="shared" si="44"/>
        <v>187.5</v>
      </c>
      <c r="G184" s="78">
        <f t="shared" si="45"/>
        <v>4</v>
      </c>
      <c r="H184" s="80">
        <f t="shared" si="46"/>
        <v>5</v>
      </c>
      <c r="I184" s="79">
        <f t="shared" si="47"/>
        <v>1</v>
      </c>
      <c r="J184" s="78">
        <f t="shared" si="48"/>
        <v>16</v>
      </c>
      <c r="K184" s="79">
        <f t="shared" si="49"/>
        <v>4</v>
      </c>
      <c r="L184" s="80">
        <f t="shared" si="50"/>
        <v>20</v>
      </c>
      <c r="M184" s="81">
        <f t="shared" si="51"/>
        <v>0</v>
      </c>
      <c r="N184" s="79">
        <f t="shared" si="52"/>
        <v>0</v>
      </c>
      <c r="O184" s="80">
        <f t="shared" si="53"/>
        <v>0</v>
      </c>
      <c r="P184" s="81">
        <f t="shared" si="54"/>
        <v>0</v>
      </c>
      <c r="Q184" s="79">
        <f t="shared" si="55"/>
        <v>0</v>
      </c>
      <c r="R184" s="80">
        <f t="shared" si="56"/>
        <v>0</v>
      </c>
      <c r="S184" s="82">
        <f t="shared" si="57"/>
        <v>354</v>
      </c>
    </row>
    <row r="185" spans="1:19" hidden="1" x14ac:dyDescent="0.25">
      <c r="A185" s="75">
        <f t="shared" si="39"/>
        <v>44702</v>
      </c>
      <c r="B185" s="76">
        <f t="shared" si="40"/>
        <v>1165</v>
      </c>
      <c r="C185" s="77">
        <f t="shared" si="41"/>
        <v>215</v>
      </c>
      <c r="D185" s="78">
        <f t="shared" si="42"/>
        <v>56.400000000000006</v>
      </c>
      <c r="E185" s="79">
        <f t="shared" si="43"/>
        <v>14.100000000000001</v>
      </c>
      <c r="F185" s="80">
        <f t="shared" si="44"/>
        <v>70.5</v>
      </c>
      <c r="G185" s="78">
        <f t="shared" si="45"/>
        <v>2</v>
      </c>
      <c r="H185" s="80">
        <f t="shared" si="46"/>
        <v>2.5</v>
      </c>
      <c r="I185" s="79">
        <f t="shared" si="47"/>
        <v>0.5</v>
      </c>
      <c r="J185" s="78">
        <f t="shared" si="48"/>
        <v>12</v>
      </c>
      <c r="K185" s="79">
        <f t="shared" si="49"/>
        <v>3</v>
      </c>
      <c r="L185" s="80">
        <f t="shared" si="50"/>
        <v>15</v>
      </c>
      <c r="M185" s="81">
        <f t="shared" si="51"/>
        <v>0</v>
      </c>
      <c r="N185" s="79">
        <f t="shared" si="52"/>
        <v>0</v>
      </c>
      <c r="O185" s="80">
        <f t="shared" si="53"/>
        <v>0</v>
      </c>
      <c r="P185" s="81">
        <f t="shared" si="54"/>
        <v>0</v>
      </c>
      <c r="Q185" s="79">
        <f t="shared" si="55"/>
        <v>0</v>
      </c>
      <c r="R185" s="80">
        <f t="shared" si="56"/>
        <v>0</v>
      </c>
      <c r="S185" s="82">
        <f t="shared" si="57"/>
        <v>774</v>
      </c>
    </row>
    <row r="186" spans="1:19" hidden="1" x14ac:dyDescent="0.25">
      <c r="A186" s="75">
        <f t="shared" si="39"/>
        <v>44709</v>
      </c>
      <c r="B186" s="76">
        <f t="shared" si="40"/>
        <v>689.3</v>
      </c>
      <c r="C186" s="77">
        <f t="shared" si="41"/>
        <v>209</v>
      </c>
      <c r="D186" s="78">
        <f t="shared" si="42"/>
        <v>48.400000000000006</v>
      </c>
      <c r="E186" s="79">
        <f t="shared" si="43"/>
        <v>12.100000000000001</v>
      </c>
      <c r="F186" s="80">
        <f t="shared" si="44"/>
        <v>60.5</v>
      </c>
      <c r="G186" s="78">
        <f t="shared" si="45"/>
        <v>6.8000000000000007</v>
      </c>
      <c r="H186" s="80">
        <f t="shared" si="46"/>
        <v>8.5</v>
      </c>
      <c r="I186" s="79">
        <f t="shared" si="47"/>
        <v>1.7000000000000002</v>
      </c>
      <c r="J186" s="78">
        <f t="shared" si="48"/>
        <v>16.8</v>
      </c>
      <c r="K186" s="79">
        <f t="shared" si="49"/>
        <v>4.2</v>
      </c>
      <c r="L186" s="80">
        <f t="shared" si="50"/>
        <v>21</v>
      </c>
      <c r="M186" s="81">
        <f t="shared" si="51"/>
        <v>0</v>
      </c>
      <c r="N186" s="79">
        <f t="shared" si="52"/>
        <v>0</v>
      </c>
      <c r="O186" s="80">
        <f t="shared" si="53"/>
        <v>0</v>
      </c>
      <c r="P186" s="81">
        <f t="shared" si="54"/>
        <v>0</v>
      </c>
      <c r="Q186" s="79">
        <f t="shared" si="55"/>
        <v>0</v>
      </c>
      <c r="R186" s="80">
        <f t="shared" si="56"/>
        <v>0</v>
      </c>
      <c r="S186" s="82">
        <f t="shared" si="57"/>
        <v>300.3</v>
      </c>
    </row>
    <row r="187" spans="1:19" hidden="1" x14ac:dyDescent="0.25">
      <c r="A187" s="75">
        <f t="shared" si="39"/>
        <v>44716</v>
      </c>
      <c r="B187" s="76">
        <f t="shared" si="40"/>
        <v>1614.3</v>
      </c>
      <c r="C187" s="77">
        <f t="shared" si="41"/>
        <v>302</v>
      </c>
      <c r="D187" s="78">
        <f t="shared" si="42"/>
        <v>75.2</v>
      </c>
      <c r="E187" s="79">
        <f t="shared" si="43"/>
        <v>18.8</v>
      </c>
      <c r="F187" s="80">
        <f t="shared" si="44"/>
        <v>94</v>
      </c>
      <c r="G187" s="78">
        <f t="shared" si="45"/>
        <v>54</v>
      </c>
      <c r="H187" s="80">
        <f t="shared" si="46"/>
        <v>67.5</v>
      </c>
      <c r="I187" s="79">
        <f t="shared" si="47"/>
        <v>13.5</v>
      </c>
      <c r="J187" s="78">
        <f t="shared" si="48"/>
        <v>32.800000000000004</v>
      </c>
      <c r="K187" s="79">
        <f t="shared" si="49"/>
        <v>8.2000000000000011</v>
      </c>
      <c r="L187" s="80">
        <f t="shared" si="50"/>
        <v>41</v>
      </c>
      <c r="M187" s="81">
        <f t="shared" si="51"/>
        <v>0</v>
      </c>
      <c r="N187" s="79">
        <f t="shared" si="52"/>
        <v>0</v>
      </c>
      <c r="O187" s="80">
        <f t="shared" si="53"/>
        <v>0</v>
      </c>
      <c r="P187" s="81">
        <f t="shared" si="54"/>
        <v>0</v>
      </c>
      <c r="Q187" s="79">
        <f t="shared" si="55"/>
        <v>0</v>
      </c>
      <c r="R187" s="80">
        <f t="shared" si="56"/>
        <v>0</v>
      </c>
      <c r="S187" s="82">
        <f t="shared" si="57"/>
        <v>907.3</v>
      </c>
    </row>
    <row r="188" spans="1:19" hidden="1" x14ac:dyDescent="0.25">
      <c r="A188" s="75">
        <f t="shared" si="39"/>
        <v>44723</v>
      </c>
      <c r="B188" s="76">
        <f t="shared" si="40"/>
        <v>733.8</v>
      </c>
      <c r="C188" s="77">
        <f t="shared" si="41"/>
        <v>155</v>
      </c>
      <c r="D188" s="78">
        <f t="shared" si="42"/>
        <v>45.2</v>
      </c>
      <c r="E188" s="79">
        <f t="shared" si="43"/>
        <v>11.3</v>
      </c>
      <c r="F188" s="80">
        <f t="shared" si="44"/>
        <v>56.5</v>
      </c>
      <c r="G188" s="78">
        <f t="shared" si="45"/>
        <v>14</v>
      </c>
      <c r="H188" s="80">
        <f t="shared" si="46"/>
        <v>17.5</v>
      </c>
      <c r="I188" s="79">
        <f t="shared" si="47"/>
        <v>3.5</v>
      </c>
      <c r="J188" s="78">
        <f t="shared" si="48"/>
        <v>17.600000000000001</v>
      </c>
      <c r="K188" s="79">
        <f t="shared" si="49"/>
        <v>4.4000000000000004</v>
      </c>
      <c r="L188" s="80">
        <f t="shared" si="50"/>
        <v>22</v>
      </c>
      <c r="M188" s="81">
        <f t="shared" si="51"/>
        <v>0</v>
      </c>
      <c r="N188" s="79">
        <f t="shared" si="52"/>
        <v>0</v>
      </c>
      <c r="O188" s="80">
        <f t="shared" si="53"/>
        <v>0</v>
      </c>
      <c r="P188" s="81">
        <f t="shared" si="54"/>
        <v>0</v>
      </c>
      <c r="Q188" s="79">
        <f t="shared" si="55"/>
        <v>0</v>
      </c>
      <c r="R188" s="80">
        <f t="shared" si="56"/>
        <v>0</v>
      </c>
      <c r="S188" s="82">
        <f t="shared" si="57"/>
        <v>386.8</v>
      </c>
    </row>
    <row r="189" spans="1:19" hidden="1" x14ac:dyDescent="0.25">
      <c r="A189" s="75">
        <f t="shared" si="39"/>
        <v>44730</v>
      </c>
      <c r="B189" s="76">
        <f t="shared" si="40"/>
        <v>3007.3</v>
      </c>
      <c r="C189" s="77">
        <f t="shared" si="41"/>
        <v>433</v>
      </c>
      <c r="D189" s="78">
        <f t="shared" si="42"/>
        <v>71.2</v>
      </c>
      <c r="E189" s="79">
        <f t="shared" si="43"/>
        <v>17.8</v>
      </c>
      <c r="F189" s="80">
        <f t="shared" si="44"/>
        <v>89</v>
      </c>
      <c r="G189" s="78">
        <f t="shared" si="45"/>
        <v>4</v>
      </c>
      <c r="H189" s="80">
        <f t="shared" si="46"/>
        <v>5</v>
      </c>
      <c r="I189" s="79">
        <f t="shared" si="47"/>
        <v>1</v>
      </c>
      <c r="J189" s="78">
        <f t="shared" si="48"/>
        <v>12</v>
      </c>
      <c r="K189" s="79">
        <f t="shared" si="49"/>
        <v>3</v>
      </c>
      <c r="L189" s="80">
        <f t="shared" si="50"/>
        <v>15</v>
      </c>
      <c r="M189" s="81">
        <f t="shared" si="51"/>
        <v>0</v>
      </c>
      <c r="N189" s="79">
        <f t="shared" si="52"/>
        <v>0</v>
      </c>
      <c r="O189" s="80">
        <f t="shared" si="53"/>
        <v>0</v>
      </c>
      <c r="P189" s="81">
        <f t="shared" si="54"/>
        <v>0</v>
      </c>
      <c r="Q189" s="79">
        <f t="shared" si="55"/>
        <v>0</v>
      </c>
      <c r="R189" s="80">
        <f t="shared" si="56"/>
        <v>0</v>
      </c>
      <c r="S189" s="82">
        <f t="shared" si="57"/>
        <v>2356.3000000000002</v>
      </c>
    </row>
    <row r="190" spans="1:19" hidden="1" x14ac:dyDescent="0.25">
      <c r="A190" s="75">
        <f t="shared" si="39"/>
        <v>44737</v>
      </c>
      <c r="B190" s="76">
        <f t="shared" si="40"/>
        <v>10096.1</v>
      </c>
      <c r="C190" s="77">
        <f t="shared" si="41"/>
        <v>457</v>
      </c>
      <c r="D190" s="78">
        <f t="shared" si="42"/>
        <v>68.400000000000006</v>
      </c>
      <c r="E190" s="79">
        <f t="shared" si="43"/>
        <v>17.100000000000001</v>
      </c>
      <c r="F190" s="80">
        <f t="shared" si="44"/>
        <v>85.5</v>
      </c>
      <c r="G190" s="78">
        <f t="shared" si="45"/>
        <v>4</v>
      </c>
      <c r="H190" s="80">
        <f t="shared" si="46"/>
        <v>5</v>
      </c>
      <c r="I190" s="79">
        <f t="shared" si="47"/>
        <v>1</v>
      </c>
      <c r="J190" s="78">
        <f t="shared" si="48"/>
        <v>10</v>
      </c>
      <c r="K190" s="79">
        <f t="shared" si="49"/>
        <v>2.5</v>
      </c>
      <c r="L190" s="80">
        <f t="shared" si="50"/>
        <v>12.5</v>
      </c>
      <c r="M190" s="81">
        <f t="shared" si="51"/>
        <v>0</v>
      </c>
      <c r="N190" s="79">
        <f t="shared" si="52"/>
        <v>0</v>
      </c>
      <c r="O190" s="80">
        <f t="shared" si="53"/>
        <v>0</v>
      </c>
      <c r="P190" s="81">
        <f t="shared" si="54"/>
        <v>0</v>
      </c>
      <c r="Q190" s="79">
        <f t="shared" si="55"/>
        <v>0</v>
      </c>
      <c r="R190" s="80">
        <f t="shared" si="56"/>
        <v>0</v>
      </c>
      <c r="S190" s="82">
        <f t="shared" si="57"/>
        <v>9433.1</v>
      </c>
    </row>
    <row r="191" spans="1:19" hidden="1" x14ac:dyDescent="0.25">
      <c r="A191" s="75">
        <f t="shared" si="39"/>
        <v>44744</v>
      </c>
      <c r="B191" s="76">
        <f t="shared" si="40"/>
        <v>1323.4</v>
      </c>
      <c r="C191" s="77">
        <f t="shared" si="41"/>
        <v>330</v>
      </c>
      <c r="D191" s="78">
        <f t="shared" si="42"/>
        <v>136.80000000000001</v>
      </c>
      <c r="E191" s="79">
        <f t="shared" si="43"/>
        <v>34.200000000000003</v>
      </c>
      <c r="F191" s="80">
        <f t="shared" si="44"/>
        <v>171</v>
      </c>
      <c r="G191" s="78">
        <f t="shared" si="45"/>
        <v>8</v>
      </c>
      <c r="H191" s="80">
        <f t="shared" si="46"/>
        <v>10</v>
      </c>
      <c r="I191" s="79">
        <f t="shared" si="47"/>
        <v>2</v>
      </c>
      <c r="J191" s="78">
        <f t="shared" si="48"/>
        <v>20</v>
      </c>
      <c r="K191" s="79">
        <f t="shared" si="49"/>
        <v>5</v>
      </c>
      <c r="L191" s="80">
        <f t="shared" si="50"/>
        <v>25</v>
      </c>
      <c r="M191" s="81">
        <f t="shared" si="51"/>
        <v>0</v>
      </c>
      <c r="N191" s="79">
        <f t="shared" si="52"/>
        <v>0</v>
      </c>
      <c r="O191" s="80">
        <f t="shared" si="53"/>
        <v>0</v>
      </c>
      <c r="P191" s="81">
        <f t="shared" si="54"/>
        <v>0</v>
      </c>
      <c r="Q191" s="79">
        <f t="shared" si="55"/>
        <v>0</v>
      </c>
      <c r="R191" s="80">
        <f t="shared" si="56"/>
        <v>0</v>
      </c>
      <c r="S191" s="82">
        <f t="shared" si="57"/>
        <v>581.4</v>
      </c>
    </row>
    <row r="192" spans="1:19" hidden="1" x14ac:dyDescent="0.25">
      <c r="A192" s="75">
        <f t="shared" si="39"/>
        <v>44751</v>
      </c>
      <c r="B192" s="76">
        <f t="shared" si="40"/>
        <v>727.8</v>
      </c>
      <c r="C192" s="77">
        <f t="shared" si="41"/>
        <v>222</v>
      </c>
      <c r="D192" s="78">
        <f t="shared" si="42"/>
        <v>52.800000000000004</v>
      </c>
      <c r="E192" s="79">
        <f t="shared" si="43"/>
        <v>13.200000000000001</v>
      </c>
      <c r="F192" s="80">
        <f t="shared" si="44"/>
        <v>66</v>
      </c>
      <c r="G192" s="78">
        <f t="shared" si="45"/>
        <v>6</v>
      </c>
      <c r="H192" s="80">
        <f t="shared" si="46"/>
        <v>7.5</v>
      </c>
      <c r="I192" s="79">
        <f t="shared" si="47"/>
        <v>1.5</v>
      </c>
      <c r="J192" s="78">
        <f t="shared" si="48"/>
        <v>12</v>
      </c>
      <c r="K192" s="79">
        <f t="shared" si="49"/>
        <v>3</v>
      </c>
      <c r="L192" s="80">
        <f t="shared" si="50"/>
        <v>15</v>
      </c>
      <c r="M192" s="81">
        <f t="shared" si="51"/>
        <v>0</v>
      </c>
      <c r="N192" s="79">
        <f t="shared" si="52"/>
        <v>0</v>
      </c>
      <c r="O192" s="80">
        <f t="shared" si="53"/>
        <v>0</v>
      </c>
      <c r="P192" s="81">
        <f t="shared" si="54"/>
        <v>0</v>
      </c>
      <c r="Q192" s="79">
        <f t="shared" si="55"/>
        <v>0</v>
      </c>
      <c r="R192" s="80">
        <f t="shared" si="56"/>
        <v>0</v>
      </c>
      <c r="S192" s="82">
        <f t="shared" si="57"/>
        <v>328.8</v>
      </c>
    </row>
    <row r="193" spans="1:19" hidden="1" x14ac:dyDescent="0.25">
      <c r="A193" s="75">
        <f t="shared" si="39"/>
        <v>44758</v>
      </c>
      <c r="B193" s="76">
        <f t="shared" si="40"/>
        <v>561</v>
      </c>
      <c r="C193" s="77">
        <f t="shared" si="41"/>
        <v>213</v>
      </c>
      <c r="D193" s="78">
        <f t="shared" si="42"/>
        <v>39.200000000000003</v>
      </c>
      <c r="E193" s="79">
        <f t="shared" si="43"/>
        <v>9.8000000000000007</v>
      </c>
      <c r="F193" s="80">
        <f t="shared" si="44"/>
        <v>49</v>
      </c>
      <c r="G193" s="78">
        <f t="shared" si="45"/>
        <v>4</v>
      </c>
      <c r="H193" s="80">
        <f t="shared" si="46"/>
        <v>5</v>
      </c>
      <c r="I193" s="79">
        <f t="shared" si="47"/>
        <v>1</v>
      </c>
      <c r="J193" s="78">
        <f t="shared" si="48"/>
        <v>14</v>
      </c>
      <c r="K193" s="79">
        <f t="shared" si="49"/>
        <v>3.5</v>
      </c>
      <c r="L193" s="80">
        <f t="shared" si="50"/>
        <v>17.5</v>
      </c>
      <c r="M193" s="81">
        <f t="shared" si="51"/>
        <v>0</v>
      </c>
      <c r="N193" s="79">
        <f t="shared" si="52"/>
        <v>0</v>
      </c>
      <c r="O193" s="80">
        <f t="shared" si="53"/>
        <v>0</v>
      </c>
      <c r="P193" s="81">
        <f t="shared" si="54"/>
        <v>0</v>
      </c>
      <c r="Q193" s="79">
        <f t="shared" si="55"/>
        <v>0</v>
      </c>
      <c r="R193" s="80">
        <f t="shared" si="56"/>
        <v>0</v>
      </c>
      <c r="S193" s="82">
        <f t="shared" si="57"/>
        <v>205</v>
      </c>
    </row>
    <row r="194" spans="1:19" hidden="1" x14ac:dyDescent="0.25">
      <c r="A194" s="75">
        <f t="shared" si="39"/>
        <v>44765</v>
      </c>
      <c r="B194" s="76">
        <f t="shared" si="40"/>
        <v>1210</v>
      </c>
      <c r="C194" s="77">
        <f t="shared" si="41"/>
        <v>493</v>
      </c>
      <c r="D194" s="78">
        <f t="shared" si="42"/>
        <v>101.60000000000001</v>
      </c>
      <c r="E194" s="79">
        <f t="shared" si="43"/>
        <v>25.400000000000002</v>
      </c>
      <c r="F194" s="80">
        <f t="shared" si="44"/>
        <v>127</v>
      </c>
      <c r="G194" s="78">
        <f t="shared" si="45"/>
        <v>20</v>
      </c>
      <c r="H194" s="80">
        <f t="shared" si="46"/>
        <v>25</v>
      </c>
      <c r="I194" s="79">
        <f t="shared" si="47"/>
        <v>5</v>
      </c>
      <c r="J194" s="78">
        <f t="shared" si="48"/>
        <v>22</v>
      </c>
      <c r="K194" s="79">
        <f t="shared" si="49"/>
        <v>5.5</v>
      </c>
      <c r="L194" s="80">
        <f t="shared" si="50"/>
        <v>27.5</v>
      </c>
      <c r="M194" s="81">
        <f t="shared" si="51"/>
        <v>0</v>
      </c>
      <c r="N194" s="79">
        <f t="shared" si="52"/>
        <v>0</v>
      </c>
      <c r="O194" s="80">
        <f t="shared" si="53"/>
        <v>0</v>
      </c>
      <c r="P194" s="81">
        <f t="shared" si="54"/>
        <v>0</v>
      </c>
      <c r="Q194" s="79">
        <f t="shared" si="55"/>
        <v>0</v>
      </c>
      <c r="R194" s="80">
        <f t="shared" si="56"/>
        <v>0</v>
      </c>
      <c r="S194" s="82">
        <f t="shared" si="57"/>
        <v>358</v>
      </c>
    </row>
    <row r="195" spans="1:19" hidden="1" x14ac:dyDescent="0.25">
      <c r="A195" s="75">
        <f t="shared" si="39"/>
        <v>44772</v>
      </c>
      <c r="B195" s="76">
        <f t="shared" si="40"/>
        <v>4389.7</v>
      </c>
      <c r="C195" s="77">
        <f t="shared" si="41"/>
        <v>499</v>
      </c>
      <c r="D195" s="78">
        <f t="shared" si="42"/>
        <v>96.4</v>
      </c>
      <c r="E195" s="79">
        <f t="shared" si="43"/>
        <v>24.1</v>
      </c>
      <c r="F195" s="80">
        <f t="shared" si="44"/>
        <v>120.5</v>
      </c>
      <c r="G195" s="78">
        <f t="shared" si="45"/>
        <v>8</v>
      </c>
      <c r="H195" s="80">
        <f t="shared" si="46"/>
        <v>10</v>
      </c>
      <c r="I195" s="79">
        <f t="shared" si="47"/>
        <v>2</v>
      </c>
      <c r="J195" s="78">
        <f t="shared" si="48"/>
        <v>24</v>
      </c>
      <c r="K195" s="79">
        <f t="shared" si="49"/>
        <v>6</v>
      </c>
      <c r="L195" s="80">
        <f t="shared" si="50"/>
        <v>30</v>
      </c>
      <c r="M195" s="81">
        <f t="shared" si="51"/>
        <v>0</v>
      </c>
      <c r="N195" s="79">
        <f t="shared" si="52"/>
        <v>0</v>
      </c>
      <c r="O195" s="80">
        <f t="shared" si="53"/>
        <v>0</v>
      </c>
      <c r="P195" s="81">
        <f t="shared" si="54"/>
        <v>0</v>
      </c>
      <c r="Q195" s="79">
        <f t="shared" si="55"/>
        <v>0</v>
      </c>
      <c r="R195" s="80">
        <f t="shared" si="56"/>
        <v>0</v>
      </c>
      <c r="S195" s="82">
        <f t="shared" si="57"/>
        <v>3569.7</v>
      </c>
    </row>
    <row r="196" spans="1:19" hidden="1" x14ac:dyDescent="0.25">
      <c r="A196" s="75">
        <f t="shared" si="39"/>
        <v>44779</v>
      </c>
      <c r="B196" s="76">
        <f t="shared" si="40"/>
        <v>649.70000000000005</v>
      </c>
      <c r="C196" s="77">
        <f t="shared" si="41"/>
        <v>185</v>
      </c>
      <c r="D196" s="78">
        <f t="shared" si="42"/>
        <v>58</v>
      </c>
      <c r="E196" s="79">
        <f t="shared" si="43"/>
        <v>14.5</v>
      </c>
      <c r="F196" s="80">
        <f t="shared" si="44"/>
        <v>72.5</v>
      </c>
      <c r="G196" s="78">
        <f t="shared" si="45"/>
        <v>12</v>
      </c>
      <c r="H196" s="80">
        <f t="shared" si="46"/>
        <v>15</v>
      </c>
      <c r="I196" s="79">
        <f t="shared" si="47"/>
        <v>3</v>
      </c>
      <c r="J196" s="78">
        <f t="shared" si="48"/>
        <v>22.400000000000002</v>
      </c>
      <c r="K196" s="79">
        <f t="shared" si="49"/>
        <v>5.6000000000000005</v>
      </c>
      <c r="L196" s="80">
        <f t="shared" si="50"/>
        <v>28</v>
      </c>
      <c r="M196" s="81">
        <f t="shared" si="51"/>
        <v>0</v>
      </c>
      <c r="N196" s="79">
        <f t="shared" si="52"/>
        <v>0</v>
      </c>
      <c r="O196" s="80">
        <f t="shared" si="53"/>
        <v>0</v>
      </c>
      <c r="P196" s="81">
        <f t="shared" si="54"/>
        <v>0</v>
      </c>
      <c r="Q196" s="79">
        <f t="shared" si="55"/>
        <v>0</v>
      </c>
      <c r="R196" s="80">
        <f t="shared" si="56"/>
        <v>0</v>
      </c>
      <c r="S196" s="82">
        <f t="shared" si="57"/>
        <v>233.7</v>
      </c>
    </row>
    <row r="197" spans="1:19" hidden="1" x14ac:dyDescent="0.25">
      <c r="A197" s="75">
        <f t="shared" si="39"/>
        <v>44786</v>
      </c>
      <c r="B197" s="76">
        <f t="shared" si="40"/>
        <v>770.7</v>
      </c>
      <c r="C197" s="77">
        <f t="shared" si="41"/>
        <v>256</v>
      </c>
      <c r="D197" s="78">
        <f t="shared" si="42"/>
        <v>83.2</v>
      </c>
      <c r="E197" s="79">
        <f t="shared" si="43"/>
        <v>20.8</v>
      </c>
      <c r="F197" s="80">
        <f t="shared" si="44"/>
        <v>104</v>
      </c>
      <c r="G197" s="78">
        <f t="shared" si="45"/>
        <v>8</v>
      </c>
      <c r="H197" s="80">
        <f t="shared" si="46"/>
        <v>10</v>
      </c>
      <c r="I197" s="79">
        <f t="shared" si="47"/>
        <v>2</v>
      </c>
      <c r="J197" s="78">
        <f t="shared" si="48"/>
        <v>12</v>
      </c>
      <c r="K197" s="79">
        <f t="shared" si="49"/>
        <v>3</v>
      </c>
      <c r="L197" s="80">
        <f t="shared" si="50"/>
        <v>15</v>
      </c>
      <c r="M197" s="81">
        <f t="shared" si="51"/>
        <v>0</v>
      </c>
      <c r="N197" s="79">
        <f t="shared" si="52"/>
        <v>0</v>
      </c>
      <c r="O197" s="80">
        <f t="shared" si="53"/>
        <v>0</v>
      </c>
      <c r="P197" s="81">
        <f t="shared" si="54"/>
        <v>0</v>
      </c>
      <c r="Q197" s="79">
        <f t="shared" si="55"/>
        <v>0</v>
      </c>
      <c r="R197" s="80">
        <f t="shared" si="56"/>
        <v>0</v>
      </c>
      <c r="S197" s="82">
        <f t="shared" si="57"/>
        <v>256.7</v>
      </c>
    </row>
    <row r="198" spans="1:19" hidden="1" x14ac:dyDescent="0.25">
      <c r="A198" s="75">
        <f t="shared" si="39"/>
        <v>44793</v>
      </c>
      <c r="B198" s="76">
        <f t="shared" si="40"/>
        <v>739</v>
      </c>
      <c r="C198" s="77">
        <f t="shared" si="41"/>
        <v>256</v>
      </c>
      <c r="D198" s="78">
        <f t="shared" si="42"/>
        <v>84</v>
      </c>
      <c r="E198" s="79">
        <f t="shared" si="43"/>
        <v>21</v>
      </c>
      <c r="F198" s="80">
        <f t="shared" si="44"/>
        <v>105</v>
      </c>
      <c r="G198" s="78">
        <f t="shared" si="45"/>
        <v>6</v>
      </c>
      <c r="H198" s="80">
        <f t="shared" si="46"/>
        <v>7.5</v>
      </c>
      <c r="I198" s="79">
        <f t="shared" si="47"/>
        <v>1.5</v>
      </c>
      <c r="J198" s="78">
        <f t="shared" si="48"/>
        <v>16.8</v>
      </c>
      <c r="K198" s="79">
        <f t="shared" si="49"/>
        <v>4.2</v>
      </c>
      <c r="L198" s="80">
        <f t="shared" si="50"/>
        <v>21</v>
      </c>
      <c r="M198" s="81">
        <f t="shared" si="51"/>
        <v>0</v>
      </c>
      <c r="N198" s="79">
        <f t="shared" si="52"/>
        <v>0</v>
      </c>
      <c r="O198" s="80">
        <f t="shared" si="53"/>
        <v>0</v>
      </c>
      <c r="P198" s="81">
        <f t="shared" si="54"/>
        <v>0</v>
      </c>
      <c r="Q198" s="79">
        <f t="shared" si="55"/>
        <v>0</v>
      </c>
      <c r="R198" s="80">
        <f t="shared" si="56"/>
        <v>0</v>
      </c>
      <c r="S198" s="82">
        <f t="shared" si="57"/>
        <v>216</v>
      </c>
    </row>
    <row r="199" spans="1:19" hidden="1" x14ac:dyDescent="0.25">
      <c r="A199" s="75">
        <f t="shared" si="39"/>
        <v>44800</v>
      </c>
      <c r="B199" s="76">
        <f t="shared" si="40"/>
        <v>4059</v>
      </c>
      <c r="C199" s="77">
        <f t="shared" si="41"/>
        <v>202</v>
      </c>
      <c r="D199" s="78">
        <f t="shared" si="42"/>
        <v>42</v>
      </c>
      <c r="E199" s="79">
        <f t="shared" si="43"/>
        <v>10.5</v>
      </c>
      <c r="F199" s="80">
        <f t="shared" si="44"/>
        <v>52.5</v>
      </c>
      <c r="G199" s="78">
        <f t="shared" si="45"/>
        <v>0</v>
      </c>
      <c r="H199" s="80">
        <f t="shared" si="46"/>
        <v>0</v>
      </c>
      <c r="I199" s="79">
        <f t="shared" si="47"/>
        <v>0</v>
      </c>
      <c r="J199" s="78">
        <f t="shared" si="48"/>
        <v>0</v>
      </c>
      <c r="K199" s="79">
        <f t="shared" si="49"/>
        <v>0</v>
      </c>
      <c r="L199" s="80">
        <f t="shared" si="50"/>
        <v>0</v>
      </c>
      <c r="M199" s="81">
        <f t="shared" si="51"/>
        <v>0</v>
      </c>
      <c r="N199" s="79">
        <f t="shared" si="52"/>
        <v>0</v>
      </c>
      <c r="O199" s="80">
        <f t="shared" si="53"/>
        <v>0</v>
      </c>
      <c r="P199" s="81">
        <f t="shared" si="54"/>
        <v>0</v>
      </c>
      <c r="Q199" s="79">
        <f t="shared" si="55"/>
        <v>0</v>
      </c>
      <c r="R199" s="80">
        <f t="shared" si="56"/>
        <v>0</v>
      </c>
      <c r="S199" s="82">
        <f t="shared" si="57"/>
        <v>3752</v>
      </c>
    </row>
    <row r="200" spans="1:19" hidden="1" x14ac:dyDescent="0.25">
      <c r="A200" s="75">
        <f t="shared" si="39"/>
        <v>44807</v>
      </c>
      <c r="B200" s="76">
        <f t="shared" si="40"/>
        <v>0</v>
      </c>
      <c r="C200" s="77">
        <f t="shared" si="41"/>
        <v>0</v>
      </c>
      <c r="D200" s="78">
        <f t="shared" si="42"/>
        <v>0</v>
      </c>
      <c r="E200" s="79">
        <f t="shared" si="43"/>
        <v>0</v>
      </c>
      <c r="F200" s="80">
        <f t="shared" si="44"/>
        <v>0</v>
      </c>
      <c r="G200" s="78">
        <f t="shared" si="45"/>
        <v>0</v>
      </c>
      <c r="H200" s="80">
        <f t="shared" si="46"/>
        <v>0</v>
      </c>
      <c r="I200" s="79">
        <f t="shared" si="47"/>
        <v>0</v>
      </c>
      <c r="J200" s="78">
        <f t="shared" si="48"/>
        <v>0</v>
      </c>
      <c r="K200" s="79">
        <f t="shared" si="49"/>
        <v>0</v>
      </c>
      <c r="L200" s="80">
        <f t="shared" si="50"/>
        <v>0</v>
      </c>
      <c r="M200" s="81">
        <f t="shared" si="51"/>
        <v>0</v>
      </c>
      <c r="N200" s="79">
        <f t="shared" si="52"/>
        <v>0</v>
      </c>
      <c r="O200" s="80">
        <f t="shared" si="53"/>
        <v>0</v>
      </c>
      <c r="P200" s="81">
        <f t="shared" si="54"/>
        <v>0</v>
      </c>
      <c r="Q200" s="79">
        <f t="shared" si="55"/>
        <v>0</v>
      </c>
      <c r="R200" s="80">
        <f t="shared" si="56"/>
        <v>0</v>
      </c>
      <c r="S200" s="82">
        <f t="shared" si="57"/>
        <v>0</v>
      </c>
    </row>
    <row r="201" spans="1:19" hidden="1" x14ac:dyDescent="0.25">
      <c r="A201" s="75">
        <f t="shared" si="39"/>
        <v>44814</v>
      </c>
      <c r="B201" s="76">
        <f t="shared" si="40"/>
        <v>826</v>
      </c>
      <c r="C201" s="77">
        <f t="shared" si="41"/>
        <v>133</v>
      </c>
      <c r="D201" s="78">
        <f t="shared" si="42"/>
        <v>36</v>
      </c>
      <c r="E201" s="79">
        <f t="shared" si="43"/>
        <v>9</v>
      </c>
      <c r="F201" s="80">
        <f t="shared" si="44"/>
        <v>45</v>
      </c>
      <c r="G201" s="78">
        <f t="shared" si="45"/>
        <v>20</v>
      </c>
      <c r="H201" s="80">
        <f t="shared" si="46"/>
        <v>25</v>
      </c>
      <c r="I201" s="79">
        <f t="shared" si="47"/>
        <v>5</v>
      </c>
      <c r="J201" s="78">
        <f t="shared" si="48"/>
        <v>25.200000000000003</v>
      </c>
      <c r="K201" s="79">
        <f t="shared" si="49"/>
        <v>6.3000000000000007</v>
      </c>
      <c r="L201" s="80">
        <f t="shared" si="50"/>
        <v>31.5</v>
      </c>
      <c r="M201" s="81">
        <f t="shared" si="51"/>
        <v>0</v>
      </c>
      <c r="N201" s="79">
        <f t="shared" si="52"/>
        <v>0</v>
      </c>
      <c r="O201" s="80">
        <f t="shared" si="53"/>
        <v>0</v>
      </c>
      <c r="P201" s="81">
        <f t="shared" si="54"/>
        <v>0</v>
      </c>
      <c r="Q201" s="79">
        <f t="shared" si="55"/>
        <v>0</v>
      </c>
      <c r="R201" s="80">
        <f t="shared" si="56"/>
        <v>0</v>
      </c>
      <c r="S201" s="82">
        <f t="shared" si="57"/>
        <v>490</v>
      </c>
    </row>
    <row r="202" spans="1:19" hidden="1" x14ac:dyDescent="0.25">
      <c r="A202" s="75">
        <f t="shared" si="39"/>
        <v>44821</v>
      </c>
      <c r="B202" s="76">
        <f t="shared" si="40"/>
        <v>1123</v>
      </c>
      <c r="C202" s="77">
        <f t="shared" si="41"/>
        <v>363</v>
      </c>
      <c r="D202" s="78">
        <f t="shared" si="42"/>
        <v>124.80000000000001</v>
      </c>
      <c r="E202" s="79">
        <f t="shared" si="43"/>
        <v>31.200000000000003</v>
      </c>
      <c r="F202" s="80">
        <f t="shared" si="44"/>
        <v>156</v>
      </c>
      <c r="G202" s="78">
        <f t="shared" si="45"/>
        <v>12</v>
      </c>
      <c r="H202" s="80">
        <f t="shared" si="46"/>
        <v>15</v>
      </c>
      <c r="I202" s="79">
        <f t="shared" si="47"/>
        <v>3</v>
      </c>
      <c r="J202" s="78">
        <f t="shared" si="48"/>
        <v>18</v>
      </c>
      <c r="K202" s="79">
        <f t="shared" si="49"/>
        <v>4.5</v>
      </c>
      <c r="L202" s="80">
        <f t="shared" si="50"/>
        <v>22.5</v>
      </c>
      <c r="M202" s="81">
        <f t="shared" si="51"/>
        <v>0</v>
      </c>
      <c r="N202" s="79">
        <f t="shared" si="52"/>
        <v>0</v>
      </c>
      <c r="O202" s="80">
        <f t="shared" si="53"/>
        <v>0</v>
      </c>
      <c r="P202" s="81">
        <f t="shared" si="54"/>
        <v>0</v>
      </c>
      <c r="Q202" s="79">
        <f t="shared" si="55"/>
        <v>0</v>
      </c>
      <c r="R202" s="80">
        <f t="shared" si="56"/>
        <v>0</v>
      </c>
      <c r="S202" s="82">
        <f t="shared" si="57"/>
        <v>373</v>
      </c>
    </row>
    <row r="203" spans="1:19" hidden="1" x14ac:dyDescent="0.25">
      <c r="A203" s="75">
        <f t="shared" si="39"/>
        <v>44828</v>
      </c>
      <c r="B203" s="76">
        <f t="shared" si="40"/>
        <v>1028.5999999999999</v>
      </c>
      <c r="C203" s="77">
        <f t="shared" si="41"/>
        <v>224</v>
      </c>
      <c r="D203" s="78">
        <f t="shared" si="42"/>
        <v>75.600000000000009</v>
      </c>
      <c r="E203" s="79">
        <f t="shared" si="43"/>
        <v>18.900000000000002</v>
      </c>
      <c r="F203" s="80">
        <f t="shared" si="44"/>
        <v>94.5</v>
      </c>
      <c r="G203" s="78">
        <f t="shared" si="45"/>
        <v>0</v>
      </c>
      <c r="H203" s="80">
        <f t="shared" si="46"/>
        <v>0</v>
      </c>
      <c r="I203" s="79">
        <f t="shared" si="47"/>
        <v>0</v>
      </c>
      <c r="J203" s="78">
        <f t="shared" si="48"/>
        <v>22</v>
      </c>
      <c r="K203" s="79">
        <f t="shared" si="49"/>
        <v>5.5</v>
      </c>
      <c r="L203" s="80">
        <f t="shared" si="50"/>
        <v>27.5</v>
      </c>
      <c r="M203" s="81">
        <f t="shared" si="51"/>
        <v>0</v>
      </c>
      <c r="N203" s="79">
        <f t="shared" si="52"/>
        <v>0</v>
      </c>
      <c r="O203" s="80">
        <f t="shared" si="53"/>
        <v>0</v>
      </c>
      <c r="P203" s="81">
        <f t="shared" si="54"/>
        <v>0</v>
      </c>
      <c r="Q203" s="79">
        <f t="shared" si="55"/>
        <v>0</v>
      </c>
      <c r="R203" s="80">
        <f t="shared" si="56"/>
        <v>0</v>
      </c>
      <c r="S203" s="82">
        <f t="shared" si="57"/>
        <v>560.6</v>
      </c>
    </row>
    <row r="204" spans="1:19" hidden="1" x14ac:dyDescent="0.25">
      <c r="A204" s="75">
        <f t="shared" si="39"/>
        <v>44835</v>
      </c>
      <c r="B204" s="76">
        <f t="shared" si="40"/>
        <v>1198.7</v>
      </c>
      <c r="C204" s="77">
        <f t="shared" si="41"/>
        <v>135</v>
      </c>
      <c r="D204" s="78">
        <f t="shared" si="42"/>
        <v>44.400000000000006</v>
      </c>
      <c r="E204" s="79">
        <f t="shared" si="43"/>
        <v>11.100000000000001</v>
      </c>
      <c r="F204" s="80">
        <f t="shared" si="44"/>
        <v>55.5</v>
      </c>
      <c r="G204" s="78">
        <f t="shared" si="45"/>
        <v>23.200000000000003</v>
      </c>
      <c r="H204" s="80">
        <f t="shared" si="46"/>
        <v>29</v>
      </c>
      <c r="I204" s="79">
        <f t="shared" si="47"/>
        <v>5.8000000000000007</v>
      </c>
      <c r="J204" s="78">
        <f t="shared" si="48"/>
        <v>28</v>
      </c>
      <c r="K204" s="79">
        <f t="shared" si="49"/>
        <v>7</v>
      </c>
      <c r="L204" s="80">
        <f t="shared" si="50"/>
        <v>35</v>
      </c>
      <c r="M204" s="81">
        <f t="shared" si="51"/>
        <v>0</v>
      </c>
      <c r="N204" s="79">
        <f t="shared" si="52"/>
        <v>0</v>
      </c>
      <c r="O204" s="80">
        <f t="shared" si="53"/>
        <v>0</v>
      </c>
      <c r="P204" s="81">
        <f t="shared" si="54"/>
        <v>0</v>
      </c>
      <c r="Q204" s="79">
        <f t="shared" si="55"/>
        <v>0</v>
      </c>
      <c r="R204" s="80">
        <f t="shared" si="56"/>
        <v>0</v>
      </c>
      <c r="S204" s="82">
        <f t="shared" si="57"/>
        <v>824.7</v>
      </c>
    </row>
    <row r="205" spans="1:19" hidden="1" x14ac:dyDescent="0.25">
      <c r="A205" s="75">
        <f t="shared" si="39"/>
        <v>44842</v>
      </c>
      <c r="B205" s="76">
        <f t="shared" si="40"/>
        <v>1089</v>
      </c>
      <c r="C205" s="77">
        <f t="shared" si="41"/>
        <v>319</v>
      </c>
      <c r="D205" s="78">
        <f t="shared" si="42"/>
        <v>74</v>
      </c>
      <c r="E205" s="79">
        <f t="shared" si="43"/>
        <v>18.5</v>
      </c>
      <c r="F205" s="80">
        <f t="shared" si="44"/>
        <v>92.5</v>
      </c>
      <c r="G205" s="78">
        <f t="shared" si="45"/>
        <v>0</v>
      </c>
      <c r="H205" s="80">
        <f t="shared" si="46"/>
        <v>0</v>
      </c>
      <c r="I205" s="79">
        <f t="shared" si="47"/>
        <v>0</v>
      </c>
      <c r="J205" s="78">
        <f t="shared" si="48"/>
        <v>0</v>
      </c>
      <c r="K205" s="79">
        <f t="shared" si="49"/>
        <v>0</v>
      </c>
      <c r="L205" s="80">
        <f t="shared" si="50"/>
        <v>0</v>
      </c>
      <c r="M205" s="81">
        <f t="shared" si="51"/>
        <v>0</v>
      </c>
      <c r="N205" s="79">
        <f t="shared" si="52"/>
        <v>0</v>
      </c>
      <c r="O205" s="80">
        <f t="shared" si="53"/>
        <v>0</v>
      </c>
      <c r="P205" s="81">
        <f t="shared" si="54"/>
        <v>0</v>
      </c>
      <c r="Q205" s="79">
        <f t="shared" si="55"/>
        <v>0</v>
      </c>
      <c r="R205" s="80">
        <f t="shared" si="56"/>
        <v>0</v>
      </c>
      <c r="S205" s="82">
        <f t="shared" si="57"/>
        <v>585</v>
      </c>
    </row>
    <row r="206" spans="1:19" hidden="1" x14ac:dyDescent="0.25">
      <c r="A206" s="75">
        <f t="shared" si="39"/>
        <v>44849</v>
      </c>
      <c r="B206" s="76">
        <f t="shared" si="40"/>
        <v>1281.0999999999999</v>
      </c>
      <c r="C206" s="77">
        <f t="shared" si="41"/>
        <v>430</v>
      </c>
      <c r="D206" s="78">
        <f t="shared" si="42"/>
        <v>88.4</v>
      </c>
      <c r="E206" s="79">
        <f t="shared" si="43"/>
        <v>22.1</v>
      </c>
      <c r="F206" s="80">
        <f t="shared" si="44"/>
        <v>110.5</v>
      </c>
      <c r="G206" s="78">
        <f t="shared" si="45"/>
        <v>16</v>
      </c>
      <c r="H206" s="80">
        <f t="shared" si="46"/>
        <v>20</v>
      </c>
      <c r="I206" s="79">
        <f t="shared" si="47"/>
        <v>4</v>
      </c>
      <c r="J206" s="78">
        <f t="shared" si="48"/>
        <v>18.400000000000002</v>
      </c>
      <c r="K206" s="79">
        <f t="shared" si="49"/>
        <v>4.6000000000000005</v>
      </c>
      <c r="L206" s="80">
        <f t="shared" si="50"/>
        <v>23</v>
      </c>
      <c r="M206" s="81">
        <f t="shared" si="51"/>
        <v>0</v>
      </c>
      <c r="N206" s="79">
        <f t="shared" si="52"/>
        <v>0</v>
      </c>
      <c r="O206" s="80">
        <f t="shared" si="53"/>
        <v>0</v>
      </c>
      <c r="P206" s="81">
        <f t="shared" si="54"/>
        <v>0</v>
      </c>
      <c r="Q206" s="79">
        <f t="shared" si="55"/>
        <v>0</v>
      </c>
      <c r="R206" s="80">
        <f t="shared" si="56"/>
        <v>0</v>
      </c>
      <c r="S206" s="82">
        <f t="shared" si="57"/>
        <v>544.1</v>
      </c>
    </row>
    <row r="207" spans="1:19" hidden="1" x14ac:dyDescent="0.25">
      <c r="A207" s="75">
        <f t="shared" si="39"/>
        <v>44856</v>
      </c>
      <c r="B207" s="76">
        <f t="shared" si="40"/>
        <v>940</v>
      </c>
      <c r="C207" s="77">
        <f t="shared" si="41"/>
        <v>311</v>
      </c>
      <c r="D207" s="78">
        <f t="shared" si="42"/>
        <v>82</v>
      </c>
      <c r="E207" s="79">
        <f t="shared" si="43"/>
        <v>20.5</v>
      </c>
      <c r="F207" s="80">
        <f t="shared" si="44"/>
        <v>102.5</v>
      </c>
      <c r="G207" s="78">
        <f t="shared" si="45"/>
        <v>10</v>
      </c>
      <c r="H207" s="80">
        <f t="shared" si="46"/>
        <v>12.5</v>
      </c>
      <c r="I207" s="79">
        <f t="shared" si="47"/>
        <v>2.5</v>
      </c>
      <c r="J207" s="78">
        <f t="shared" si="48"/>
        <v>16</v>
      </c>
      <c r="K207" s="79">
        <f t="shared" si="49"/>
        <v>4</v>
      </c>
      <c r="L207" s="80">
        <f t="shared" si="50"/>
        <v>20</v>
      </c>
      <c r="M207" s="81">
        <f t="shared" si="51"/>
        <v>0</v>
      </c>
      <c r="N207" s="79">
        <f t="shared" si="52"/>
        <v>0</v>
      </c>
      <c r="O207" s="80">
        <f t="shared" si="53"/>
        <v>0</v>
      </c>
      <c r="P207" s="81">
        <f t="shared" si="54"/>
        <v>0</v>
      </c>
      <c r="Q207" s="79">
        <f t="shared" si="55"/>
        <v>0</v>
      </c>
      <c r="R207" s="80">
        <f t="shared" si="56"/>
        <v>0</v>
      </c>
      <c r="S207" s="82">
        <f t="shared" si="57"/>
        <v>359</v>
      </c>
    </row>
    <row r="208" spans="1:19" hidden="1" x14ac:dyDescent="0.25">
      <c r="A208" s="75">
        <f t="shared" si="39"/>
        <v>44863</v>
      </c>
      <c r="B208" s="76">
        <f t="shared" si="40"/>
        <v>793.9</v>
      </c>
      <c r="C208" s="77">
        <f t="shared" si="41"/>
        <v>212</v>
      </c>
      <c r="D208" s="78">
        <f t="shared" si="42"/>
        <v>90</v>
      </c>
      <c r="E208" s="79">
        <f t="shared" si="43"/>
        <v>22.5</v>
      </c>
      <c r="F208" s="80">
        <f t="shared" si="44"/>
        <v>112.5</v>
      </c>
      <c r="G208" s="78">
        <f t="shared" si="45"/>
        <v>6</v>
      </c>
      <c r="H208" s="80">
        <f t="shared" si="46"/>
        <v>7.5</v>
      </c>
      <c r="I208" s="79">
        <f t="shared" si="47"/>
        <v>1.5</v>
      </c>
      <c r="J208" s="78">
        <f t="shared" si="48"/>
        <v>12</v>
      </c>
      <c r="K208" s="79">
        <f t="shared" si="49"/>
        <v>3</v>
      </c>
      <c r="L208" s="80">
        <f t="shared" si="50"/>
        <v>15</v>
      </c>
      <c r="M208" s="81">
        <f t="shared" si="51"/>
        <v>0</v>
      </c>
      <c r="N208" s="79">
        <f t="shared" si="52"/>
        <v>0</v>
      </c>
      <c r="O208" s="80">
        <f t="shared" si="53"/>
        <v>0</v>
      </c>
      <c r="P208" s="81">
        <f t="shared" si="54"/>
        <v>0</v>
      </c>
      <c r="Q208" s="79">
        <f t="shared" si="55"/>
        <v>0</v>
      </c>
      <c r="R208" s="80">
        <f t="shared" si="56"/>
        <v>0</v>
      </c>
      <c r="S208" s="82">
        <f t="shared" si="57"/>
        <v>311.89999999999998</v>
      </c>
    </row>
    <row r="209" spans="1:19" hidden="1" x14ac:dyDescent="0.25">
      <c r="A209" s="75">
        <f t="shared" si="39"/>
        <v>44870</v>
      </c>
      <c r="B209" s="76">
        <f t="shared" si="40"/>
        <v>5462.5</v>
      </c>
      <c r="C209" s="77">
        <f t="shared" si="41"/>
        <v>150</v>
      </c>
      <c r="D209" s="78">
        <f t="shared" si="42"/>
        <v>55.2</v>
      </c>
      <c r="E209" s="79">
        <f t="shared" si="43"/>
        <v>13.8</v>
      </c>
      <c r="F209" s="80">
        <f t="shared" si="44"/>
        <v>69</v>
      </c>
      <c r="G209" s="78">
        <f t="shared" si="45"/>
        <v>4.8000000000000007</v>
      </c>
      <c r="H209" s="80">
        <f t="shared" si="46"/>
        <v>6</v>
      </c>
      <c r="I209" s="79">
        <f t="shared" si="47"/>
        <v>1.2000000000000002</v>
      </c>
      <c r="J209" s="78">
        <f t="shared" si="48"/>
        <v>0</v>
      </c>
      <c r="K209" s="79">
        <f t="shared" si="49"/>
        <v>0</v>
      </c>
      <c r="L209" s="80">
        <f t="shared" si="50"/>
        <v>0</v>
      </c>
      <c r="M209" s="81">
        <f t="shared" si="51"/>
        <v>0</v>
      </c>
      <c r="N209" s="79">
        <f t="shared" si="52"/>
        <v>0</v>
      </c>
      <c r="O209" s="80">
        <f t="shared" si="53"/>
        <v>0</v>
      </c>
      <c r="P209" s="81">
        <f t="shared" si="54"/>
        <v>0</v>
      </c>
      <c r="Q209" s="79">
        <f t="shared" si="55"/>
        <v>0</v>
      </c>
      <c r="R209" s="80">
        <f t="shared" si="56"/>
        <v>0</v>
      </c>
      <c r="S209" s="82">
        <f t="shared" si="57"/>
        <v>5162.5</v>
      </c>
    </row>
    <row r="210" spans="1:19" hidden="1" x14ac:dyDescent="0.25">
      <c r="A210" s="75">
        <f t="shared" si="39"/>
        <v>44877</v>
      </c>
      <c r="B210" s="76">
        <f t="shared" ref="B210:B217" si="58">K98</f>
        <v>1553.5</v>
      </c>
      <c r="C210" s="77">
        <f t="shared" ref="C210:C217" si="59">B98</f>
        <v>209</v>
      </c>
      <c r="D210" s="78">
        <f t="shared" ref="D210:D217" si="60">0.4*C98</f>
        <v>60.800000000000004</v>
      </c>
      <c r="E210" s="79">
        <f t="shared" ref="E210:E217" si="61">0.1*C98</f>
        <v>15.200000000000001</v>
      </c>
      <c r="F210" s="80">
        <f t="shared" ref="F210:F217" si="62">0.5*C98</f>
        <v>76</v>
      </c>
      <c r="G210" s="78">
        <f t="shared" ref="G210:G217" si="63">0.4*D98</f>
        <v>2</v>
      </c>
      <c r="H210" s="80">
        <f t="shared" ref="H210:H217" si="64">0.5*D98</f>
        <v>2.5</v>
      </c>
      <c r="I210" s="79">
        <f t="shared" ref="I210:I217" si="65">0.1*D98</f>
        <v>0.5</v>
      </c>
      <c r="J210" s="78">
        <f t="shared" ref="J210:J217" si="66">0.4*E98</f>
        <v>20.200000000000003</v>
      </c>
      <c r="K210" s="79">
        <f t="shared" ref="K210:K217" si="67">0.1*E98</f>
        <v>5.0500000000000007</v>
      </c>
      <c r="L210" s="80">
        <f t="shared" ref="L210:L217" si="68">0.5*E98</f>
        <v>25.25</v>
      </c>
      <c r="M210" s="81">
        <f t="shared" ref="M210:M217" si="69">PRODUCT(I98*(1/3))</f>
        <v>0</v>
      </c>
      <c r="N210" s="79">
        <f t="shared" ref="N210:N217" si="70">PRODUCT(I98*(1/3))</f>
        <v>0</v>
      </c>
      <c r="O210" s="80">
        <f t="shared" ref="O210:O217" si="71">PRODUCT(I98*(1/3))</f>
        <v>0</v>
      </c>
      <c r="P210" s="81">
        <f t="shared" ref="P210:P217" si="72">J98*0.1</f>
        <v>0</v>
      </c>
      <c r="Q210" s="79">
        <f t="shared" ref="Q210:Q217" si="73">J98*0.1</f>
        <v>0</v>
      </c>
      <c r="R210" s="80">
        <f t="shared" ref="R210:R217" si="74">J98*0.8</f>
        <v>0</v>
      </c>
      <c r="S210" s="82">
        <f t="shared" ref="S210:S217" si="75">SUM(F98:H98)</f>
        <v>1137</v>
      </c>
    </row>
    <row r="211" spans="1:19" hidden="1" x14ac:dyDescent="0.25">
      <c r="A211" s="75">
        <f t="shared" si="39"/>
        <v>44884</v>
      </c>
      <c r="B211" s="76">
        <f t="shared" si="58"/>
        <v>827.5</v>
      </c>
      <c r="C211" s="77">
        <f t="shared" si="59"/>
        <v>181</v>
      </c>
      <c r="D211" s="78">
        <f t="shared" si="60"/>
        <v>75.2</v>
      </c>
      <c r="E211" s="79">
        <f t="shared" si="61"/>
        <v>18.8</v>
      </c>
      <c r="F211" s="80">
        <f t="shared" si="62"/>
        <v>94</v>
      </c>
      <c r="G211" s="78">
        <f t="shared" si="63"/>
        <v>14</v>
      </c>
      <c r="H211" s="80">
        <f t="shared" si="64"/>
        <v>17.5</v>
      </c>
      <c r="I211" s="79">
        <f t="shared" si="65"/>
        <v>3.5</v>
      </c>
      <c r="J211" s="78">
        <f t="shared" si="66"/>
        <v>20.8</v>
      </c>
      <c r="K211" s="79">
        <f t="shared" si="67"/>
        <v>5.2</v>
      </c>
      <c r="L211" s="80">
        <f t="shared" si="68"/>
        <v>26</v>
      </c>
      <c r="M211" s="81">
        <f t="shared" si="69"/>
        <v>0</v>
      </c>
      <c r="N211" s="79">
        <f t="shared" si="70"/>
        <v>0</v>
      </c>
      <c r="O211" s="80">
        <f t="shared" si="71"/>
        <v>0</v>
      </c>
      <c r="P211" s="81">
        <f t="shared" si="72"/>
        <v>0</v>
      </c>
      <c r="Q211" s="79">
        <f t="shared" si="73"/>
        <v>0</v>
      </c>
      <c r="R211" s="80">
        <f t="shared" si="74"/>
        <v>0</v>
      </c>
      <c r="S211" s="82">
        <f t="shared" si="75"/>
        <v>371.5</v>
      </c>
    </row>
    <row r="212" spans="1:19" hidden="1" x14ac:dyDescent="0.25">
      <c r="A212" s="75">
        <f t="shared" si="39"/>
        <v>44891</v>
      </c>
      <c r="B212" s="76">
        <f t="shared" si="58"/>
        <v>3333.2</v>
      </c>
      <c r="C212" s="77">
        <f t="shared" si="59"/>
        <v>516</v>
      </c>
      <c r="D212" s="78">
        <f t="shared" si="60"/>
        <v>83.600000000000009</v>
      </c>
      <c r="E212" s="79">
        <f t="shared" si="61"/>
        <v>20.900000000000002</v>
      </c>
      <c r="F212" s="80">
        <f t="shared" si="62"/>
        <v>104.5</v>
      </c>
      <c r="G212" s="78">
        <f t="shared" si="63"/>
        <v>24</v>
      </c>
      <c r="H212" s="80">
        <f t="shared" si="64"/>
        <v>30</v>
      </c>
      <c r="I212" s="79">
        <f t="shared" si="65"/>
        <v>6</v>
      </c>
      <c r="J212" s="78">
        <f t="shared" si="66"/>
        <v>60</v>
      </c>
      <c r="K212" s="79">
        <f t="shared" si="67"/>
        <v>15</v>
      </c>
      <c r="L212" s="80">
        <f t="shared" si="68"/>
        <v>75</v>
      </c>
      <c r="M212" s="81">
        <f t="shared" si="69"/>
        <v>0</v>
      </c>
      <c r="N212" s="79">
        <f t="shared" si="70"/>
        <v>0</v>
      </c>
      <c r="O212" s="80">
        <f t="shared" si="71"/>
        <v>0</v>
      </c>
      <c r="P212" s="81">
        <f t="shared" si="72"/>
        <v>0</v>
      </c>
      <c r="Q212" s="79">
        <f t="shared" si="73"/>
        <v>0</v>
      </c>
      <c r="R212" s="80">
        <f t="shared" si="74"/>
        <v>0</v>
      </c>
      <c r="S212" s="82">
        <f t="shared" si="75"/>
        <v>2398.1999999999998</v>
      </c>
    </row>
    <row r="213" spans="1:19" hidden="1" x14ac:dyDescent="0.25">
      <c r="A213" s="75">
        <f t="shared" si="39"/>
        <v>44898</v>
      </c>
      <c r="B213" s="76">
        <f t="shared" si="58"/>
        <v>1638.8</v>
      </c>
      <c r="C213" s="77">
        <f t="shared" si="59"/>
        <v>338</v>
      </c>
      <c r="D213" s="78">
        <f t="shared" si="60"/>
        <v>74</v>
      </c>
      <c r="E213" s="79">
        <f t="shared" si="61"/>
        <v>18.5</v>
      </c>
      <c r="F213" s="80">
        <f t="shared" si="62"/>
        <v>92.5</v>
      </c>
      <c r="G213" s="78">
        <f t="shared" si="63"/>
        <v>24</v>
      </c>
      <c r="H213" s="80">
        <f t="shared" si="64"/>
        <v>30</v>
      </c>
      <c r="I213" s="79">
        <f t="shared" si="65"/>
        <v>6</v>
      </c>
      <c r="J213" s="78">
        <f t="shared" si="66"/>
        <v>76</v>
      </c>
      <c r="K213" s="79">
        <f t="shared" si="67"/>
        <v>19</v>
      </c>
      <c r="L213" s="80">
        <f t="shared" si="68"/>
        <v>95</v>
      </c>
      <c r="M213" s="81">
        <f t="shared" si="69"/>
        <v>0</v>
      </c>
      <c r="N213" s="79">
        <f t="shared" si="70"/>
        <v>0</v>
      </c>
      <c r="O213" s="80">
        <f t="shared" si="71"/>
        <v>0</v>
      </c>
      <c r="P213" s="81">
        <f t="shared" si="72"/>
        <v>0</v>
      </c>
      <c r="Q213" s="79">
        <f t="shared" si="73"/>
        <v>0</v>
      </c>
      <c r="R213" s="80">
        <f t="shared" si="74"/>
        <v>0</v>
      </c>
      <c r="S213" s="82">
        <f t="shared" si="75"/>
        <v>865.8</v>
      </c>
    </row>
    <row r="214" spans="1:19" hidden="1" x14ac:dyDescent="0.25">
      <c r="A214" s="75">
        <f t="shared" si="39"/>
        <v>44905</v>
      </c>
      <c r="B214" s="76">
        <f t="shared" si="58"/>
        <v>1383.4</v>
      </c>
      <c r="C214" s="77">
        <f t="shared" si="59"/>
        <v>150</v>
      </c>
      <c r="D214" s="78">
        <f t="shared" si="60"/>
        <v>58</v>
      </c>
      <c r="E214" s="79">
        <f t="shared" si="61"/>
        <v>14.5</v>
      </c>
      <c r="F214" s="80">
        <f t="shared" si="62"/>
        <v>72.5</v>
      </c>
      <c r="G214" s="78">
        <f t="shared" si="63"/>
        <v>16</v>
      </c>
      <c r="H214" s="80">
        <f t="shared" si="64"/>
        <v>20</v>
      </c>
      <c r="I214" s="79">
        <f t="shared" si="65"/>
        <v>4</v>
      </c>
      <c r="J214" s="78">
        <f t="shared" si="66"/>
        <v>26</v>
      </c>
      <c r="K214" s="79">
        <f t="shared" si="67"/>
        <v>6.5</v>
      </c>
      <c r="L214" s="80">
        <f t="shared" si="68"/>
        <v>32.5</v>
      </c>
      <c r="M214" s="81">
        <f t="shared" si="69"/>
        <v>0</v>
      </c>
      <c r="N214" s="79">
        <f t="shared" si="70"/>
        <v>0</v>
      </c>
      <c r="O214" s="80">
        <f t="shared" si="71"/>
        <v>0</v>
      </c>
      <c r="P214" s="81">
        <f t="shared" si="72"/>
        <v>0</v>
      </c>
      <c r="Q214" s="79">
        <f t="shared" si="73"/>
        <v>0</v>
      </c>
      <c r="R214" s="80">
        <f t="shared" si="74"/>
        <v>0</v>
      </c>
      <c r="S214" s="82">
        <f t="shared" si="75"/>
        <v>983.4</v>
      </c>
    </row>
    <row r="215" spans="1:19" hidden="1" x14ac:dyDescent="0.25">
      <c r="A215" s="75">
        <f t="shared" si="39"/>
        <v>44912</v>
      </c>
      <c r="B215" s="76">
        <f t="shared" si="58"/>
        <v>1156</v>
      </c>
      <c r="C215" s="77">
        <f t="shared" si="59"/>
        <v>310</v>
      </c>
      <c r="D215" s="78">
        <f t="shared" si="60"/>
        <v>99.2</v>
      </c>
      <c r="E215" s="79">
        <f t="shared" si="61"/>
        <v>24.8</v>
      </c>
      <c r="F215" s="80">
        <f t="shared" si="62"/>
        <v>124</v>
      </c>
      <c r="G215" s="78">
        <f t="shared" si="63"/>
        <v>12</v>
      </c>
      <c r="H215" s="80">
        <f t="shared" si="64"/>
        <v>15</v>
      </c>
      <c r="I215" s="79">
        <f t="shared" si="65"/>
        <v>3</v>
      </c>
      <c r="J215" s="78">
        <f t="shared" si="66"/>
        <v>0</v>
      </c>
      <c r="K215" s="79">
        <f t="shared" si="67"/>
        <v>0</v>
      </c>
      <c r="L215" s="80">
        <f t="shared" si="68"/>
        <v>0</v>
      </c>
      <c r="M215" s="81">
        <f t="shared" si="69"/>
        <v>0</v>
      </c>
      <c r="N215" s="79">
        <f t="shared" si="70"/>
        <v>0</v>
      </c>
      <c r="O215" s="80">
        <f t="shared" si="71"/>
        <v>0</v>
      </c>
      <c r="P215" s="81">
        <f t="shared" si="72"/>
        <v>0</v>
      </c>
      <c r="Q215" s="79">
        <f t="shared" si="73"/>
        <v>0</v>
      </c>
      <c r="R215" s="80">
        <f t="shared" si="74"/>
        <v>0</v>
      </c>
      <c r="S215" s="82">
        <f t="shared" si="75"/>
        <v>568</v>
      </c>
    </row>
    <row r="216" spans="1:19" hidden="1" x14ac:dyDescent="0.25">
      <c r="A216" s="75">
        <f t="shared" si="39"/>
        <v>44919</v>
      </c>
      <c r="B216" s="76">
        <f t="shared" si="58"/>
        <v>18483.7</v>
      </c>
      <c r="C216" s="77">
        <f t="shared" si="59"/>
        <v>356</v>
      </c>
      <c r="D216" s="78">
        <f t="shared" si="60"/>
        <v>105.60000000000001</v>
      </c>
      <c r="E216" s="79">
        <f t="shared" si="61"/>
        <v>26.400000000000002</v>
      </c>
      <c r="F216" s="80">
        <f t="shared" si="62"/>
        <v>132</v>
      </c>
      <c r="G216" s="78">
        <f t="shared" si="63"/>
        <v>10</v>
      </c>
      <c r="H216" s="80">
        <f t="shared" si="64"/>
        <v>12.5</v>
      </c>
      <c r="I216" s="79">
        <f t="shared" si="65"/>
        <v>2.5</v>
      </c>
      <c r="J216" s="78">
        <f t="shared" si="66"/>
        <v>22</v>
      </c>
      <c r="K216" s="79">
        <f t="shared" si="67"/>
        <v>5.5</v>
      </c>
      <c r="L216" s="80">
        <f t="shared" si="68"/>
        <v>27.5</v>
      </c>
      <c r="M216" s="81">
        <f t="shared" si="69"/>
        <v>0</v>
      </c>
      <c r="N216" s="79">
        <f t="shared" si="70"/>
        <v>0</v>
      </c>
      <c r="O216" s="80">
        <f t="shared" si="71"/>
        <v>0</v>
      </c>
      <c r="P216" s="81">
        <f t="shared" si="72"/>
        <v>1739</v>
      </c>
      <c r="Q216" s="79">
        <f t="shared" si="73"/>
        <v>1739</v>
      </c>
      <c r="R216" s="80">
        <f t="shared" si="74"/>
        <v>13912</v>
      </c>
      <c r="S216" s="82">
        <f t="shared" si="75"/>
        <v>393.7</v>
      </c>
    </row>
    <row r="217" spans="1:19" hidden="1" x14ac:dyDescent="0.25">
      <c r="A217" s="75">
        <f t="shared" si="39"/>
        <v>44926</v>
      </c>
      <c r="B217" s="76">
        <f t="shared" si="58"/>
        <v>32960.199999999997</v>
      </c>
      <c r="C217" s="77">
        <f t="shared" si="59"/>
        <v>234</v>
      </c>
      <c r="D217" s="78">
        <f t="shared" si="60"/>
        <v>65.600000000000009</v>
      </c>
      <c r="E217" s="79">
        <f t="shared" si="61"/>
        <v>16.400000000000002</v>
      </c>
      <c r="F217" s="80">
        <f t="shared" si="62"/>
        <v>82</v>
      </c>
      <c r="G217" s="78">
        <f t="shared" si="63"/>
        <v>40</v>
      </c>
      <c r="H217" s="80">
        <f t="shared" si="64"/>
        <v>50</v>
      </c>
      <c r="I217" s="79">
        <f t="shared" si="65"/>
        <v>10</v>
      </c>
      <c r="J217" s="78">
        <f t="shared" si="66"/>
        <v>20</v>
      </c>
      <c r="K217" s="79">
        <f t="shared" si="67"/>
        <v>5</v>
      </c>
      <c r="L217" s="80">
        <f t="shared" si="68"/>
        <v>25</v>
      </c>
      <c r="M217" s="81">
        <f t="shared" si="69"/>
        <v>0</v>
      </c>
      <c r="N217" s="79">
        <f t="shared" si="70"/>
        <v>0</v>
      </c>
      <c r="O217" s="80">
        <f t="shared" si="71"/>
        <v>0</v>
      </c>
      <c r="P217" s="81">
        <f t="shared" si="72"/>
        <v>0</v>
      </c>
      <c r="Q217" s="79">
        <f t="shared" si="73"/>
        <v>0</v>
      </c>
      <c r="R217" s="80">
        <f t="shared" si="74"/>
        <v>0</v>
      </c>
      <c r="S217" s="82">
        <f t="shared" si="75"/>
        <v>32412.2</v>
      </c>
    </row>
    <row r="218" spans="1:19" s="5" customFormat="1" x14ac:dyDescent="0.25">
      <c r="A218" s="118" t="s">
        <v>20</v>
      </c>
      <c r="B218" s="119">
        <f>SUBTOTAL(109,WeeklyIncomeSummary[TOTAL])</f>
        <v>6024.6</v>
      </c>
      <c r="C218" s="120">
        <f>SUBTOTAL(109,WeeklyIncomeSummary[TITHE])</f>
        <v>1589</v>
      </c>
      <c r="D218" s="120">
        <f>SUBTOTAL(109,WeeklyIncomeSummary[CONF 40%])</f>
        <v>271.20000000000005</v>
      </c>
      <c r="E218" s="120">
        <f>SUBTOTAL(109,WeeklyIncomeSummary[DISTRICT 10%])</f>
        <v>67.800000000000011</v>
      </c>
      <c r="F218" s="120">
        <f>SUBTOTAL(109,WeeklyIncomeSummary[LOCAL 50%])</f>
        <v>339</v>
      </c>
      <c r="G218" s="120">
        <f>SUBTOTAL(109,WeeklyIncomeSummary[CONF 40% ])</f>
        <v>62</v>
      </c>
      <c r="H218" s="120">
        <f>SUBTOTAL(109,WeeklyIncomeSummary[LOCAL 50% ])</f>
        <v>77.5</v>
      </c>
      <c r="I218" s="120">
        <f>SUBTOTAL(109,WeeklyIncomeSummary[DISTRICT 10% ])</f>
        <v>15.5</v>
      </c>
      <c r="J218" s="120">
        <f>SUBTOTAL(109,WeeklyIncomeSummary[CONF 40%  ])</f>
        <v>89.8</v>
      </c>
      <c r="K218" s="120">
        <f>SUBTOTAL(109,WeeklyIncomeSummary[DISTRICT 10%  ])</f>
        <v>22.45</v>
      </c>
      <c r="L218" s="120">
        <f>SUBTOTAL(109,WeeklyIncomeSummary[LOCAL 50%  ])</f>
        <v>112.25</v>
      </c>
      <c r="M218" s="120">
        <f>SUBTOTAL(109,WeeklyIncomeSummary[CONF %])</f>
        <v>0</v>
      </c>
      <c r="N218" s="120">
        <f>SUBTOTAL(109,WeeklyIncomeSummary[DIST  %])</f>
        <v>0</v>
      </c>
      <c r="O218" s="120">
        <f>SUBTOTAL(109,WeeklyIncomeSummary[LOCAL %])</f>
        <v>0</v>
      </c>
      <c r="P218" s="120">
        <f>SUBTOTAL(109,WeeklyIncomeSummary[CONF 10%])</f>
        <v>0</v>
      </c>
      <c r="Q218" s="120">
        <f>SUBTOTAL(109,WeeklyIncomeSummary[DISTRICT 10%   ])</f>
        <v>0</v>
      </c>
      <c r="R218" s="120">
        <f>SUBTOTAL(109,WeeklyIncomeSummary[LOCAL 80%])</f>
        <v>0</v>
      </c>
      <c r="S218" s="120">
        <f>SUBTOTAL(109,WeeklyIncomeSummary[LOCAL FUNDS])</f>
        <v>3378.1</v>
      </c>
    </row>
    <row r="219" spans="1:19" s="5" customFormat="1" x14ac:dyDescent="0.25">
      <c r="A219" s="2"/>
      <c r="B219" s="3"/>
      <c r="C219" s="4"/>
      <c r="D219" s="4"/>
      <c r="E219" s="4"/>
      <c r="F219" s="4"/>
      <c r="G219" s="4"/>
      <c r="H219" s="4"/>
      <c r="I219" s="4"/>
      <c r="J219" s="4"/>
      <c r="K219" s="4"/>
      <c r="L219" s="4"/>
      <c r="M219" s="4"/>
      <c r="N219" s="4"/>
      <c r="O219" s="4"/>
      <c r="P219" s="4"/>
      <c r="Q219" s="4"/>
      <c r="R219" s="4"/>
      <c r="S219" s="4"/>
    </row>
    <row r="220" spans="1:19" s="5" customFormat="1" x14ac:dyDescent="0.25">
      <c r="A220" s="2"/>
      <c r="B220" s="3"/>
      <c r="C220" s="4"/>
      <c r="D220" s="4"/>
      <c r="E220" s="4"/>
      <c r="F220" s="4"/>
      <c r="G220" s="4"/>
      <c r="H220" s="4"/>
      <c r="I220" s="4"/>
      <c r="J220" s="4"/>
      <c r="K220" s="4"/>
      <c r="L220" s="4"/>
      <c r="M220" s="4"/>
      <c r="N220" s="4"/>
      <c r="O220" s="4"/>
      <c r="P220" s="4"/>
      <c r="Q220" s="4"/>
      <c r="R220" s="4"/>
      <c r="S220" s="4"/>
    </row>
    <row r="221" spans="1:19" s="5" customFormat="1" x14ac:dyDescent="0.25">
      <c r="A221" s="2"/>
      <c r="B221" s="3"/>
      <c r="C221" s="4"/>
      <c r="D221" s="4"/>
      <c r="E221" s="4"/>
      <c r="F221" s="4"/>
      <c r="G221" s="4"/>
      <c r="H221" s="4"/>
      <c r="I221" s="4"/>
      <c r="J221" s="4"/>
      <c r="K221" s="4"/>
      <c r="L221" s="4"/>
      <c r="M221" s="4"/>
      <c r="N221" s="4"/>
      <c r="O221" s="4"/>
      <c r="P221" s="4"/>
      <c r="Q221" s="4"/>
      <c r="R221" s="4"/>
      <c r="S221" s="4"/>
    </row>
    <row r="222" spans="1:19" s="5" customFormat="1" x14ac:dyDescent="0.25">
      <c r="A222" s="2"/>
      <c r="B222" s="3"/>
      <c r="C222" s="4"/>
      <c r="D222" s="4"/>
      <c r="E222" s="4"/>
      <c r="F222" s="4"/>
      <c r="G222" s="4"/>
      <c r="H222" s="4"/>
      <c r="I222" s="4"/>
      <c r="J222" s="4"/>
      <c r="K222" s="4"/>
      <c r="L222" s="4"/>
      <c r="M222" s="4"/>
      <c r="N222" s="4"/>
      <c r="O222" s="4"/>
      <c r="P222" s="4"/>
      <c r="Q222" s="4"/>
      <c r="R222" s="4"/>
      <c r="S222" s="4"/>
    </row>
    <row r="223" spans="1:19" s="5" customFormat="1" x14ac:dyDescent="0.25">
      <c r="A223" s="2"/>
      <c r="B223" s="3"/>
      <c r="C223" s="4"/>
      <c r="D223" s="4"/>
      <c r="E223" s="4"/>
      <c r="F223" s="4"/>
      <c r="G223" s="4"/>
      <c r="H223" s="4"/>
      <c r="I223" s="4"/>
      <c r="J223" s="4"/>
      <c r="K223" s="4"/>
      <c r="L223" s="4"/>
      <c r="M223" s="4"/>
      <c r="N223" s="4"/>
      <c r="O223" s="4"/>
      <c r="P223" s="4"/>
      <c r="Q223" s="4"/>
      <c r="R223" s="4"/>
      <c r="S223" s="4"/>
    </row>
    <row r="224" spans="1:19" s="5" customFormat="1" x14ac:dyDescent="0.25">
      <c r="A224" s="2"/>
      <c r="B224" s="3"/>
      <c r="C224" s="4"/>
      <c r="D224" s="4"/>
      <c r="E224" s="4"/>
      <c r="F224" s="4"/>
      <c r="G224" s="4"/>
      <c r="H224" s="4"/>
      <c r="I224" s="4"/>
      <c r="J224" s="4"/>
      <c r="K224" s="4"/>
      <c r="L224" s="4"/>
      <c r="M224" s="4"/>
      <c r="N224" s="4"/>
      <c r="O224" s="4"/>
      <c r="P224" s="4"/>
      <c r="Q224" s="4"/>
      <c r="R224" s="4"/>
      <c r="S224" s="4"/>
    </row>
    <row r="225" spans="1:2" x14ac:dyDescent="0.25">
      <c r="A225" s="83" t="s">
        <v>22</v>
      </c>
      <c r="B225" s="84">
        <f>SUM(C218,D218,G218,J218,M218,P218)</f>
        <v>2012</v>
      </c>
    </row>
    <row r="226" spans="1:2" x14ac:dyDescent="0.25">
      <c r="A226" s="85" t="s">
        <v>23</v>
      </c>
      <c r="B226" s="86">
        <f>SUM(E218,I218,K218,N218,Q218)</f>
        <v>105.75000000000001</v>
      </c>
    </row>
    <row r="227" spans="1:2" x14ac:dyDescent="0.25">
      <c r="A227" s="87" t="s">
        <v>24</v>
      </c>
      <c r="B227" s="88">
        <f>SUM(F218,H218,L218,O218,R218,S218)</f>
        <v>3906.85</v>
      </c>
    </row>
    <row r="228" spans="1:2" ht="17.25" x14ac:dyDescent="0.4">
      <c r="A228" s="89"/>
      <c r="B228" s="90">
        <f>SUM(B225:B227)</f>
        <v>6024.6</v>
      </c>
    </row>
  </sheetData>
  <sheetProtection sheet="1" objects="1" scenarios="1" sort="0" autoFilter="0"/>
  <protectedRanges>
    <protectedRange algorithmName="SHA-512" hashValue="cEhUXjNuylrjphvPnxil/OpH9B5QMo7oNUB0XkyN0BejfZ/is33lnrbYi+3RBoOkAiJnOTPT9mMsMz6Zh+nO2A==" saltValue="DQOE+uUJBCAii/wLT0+mVA==" spinCount="100000" sqref="A2:K105" name="Income"/>
  </protectedRanges>
  <mergeCells count="5">
    <mergeCell ref="D111:F111"/>
    <mergeCell ref="G111:I111"/>
    <mergeCell ref="J111:L111"/>
    <mergeCell ref="M111:O111"/>
    <mergeCell ref="P111:R111"/>
  </mergeCells>
  <pageMargins left="0.70866141732283472" right="0.70866141732283472" top="0.74803149606299213" bottom="0.74803149606299213" header="0.31496062992125984" footer="0.31496062992125984"/>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veToLocations">
                <anchor>
                  <from>
                    <xdr:col>8</xdr:col>
                    <xdr:colOff>1581150</xdr:colOff>
                    <xdr:row>218</xdr:row>
                    <xdr:rowOff>133350</xdr:rowOff>
                  </from>
                  <to>
                    <xdr:col>9</xdr:col>
                    <xdr:colOff>1228725</xdr:colOff>
                    <xdr:row>221</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WeeklyReports">
                <anchor>
                  <from>
                    <xdr:col>6</xdr:col>
                    <xdr:colOff>171450</xdr:colOff>
                    <xdr:row>218</xdr:row>
                    <xdr:rowOff>133350</xdr:rowOff>
                  </from>
                  <to>
                    <xdr:col>7</xdr:col>
                    <xdr:colOff>342900</xdr:colOff>
                    <xdr:row>221</xdr:row>
                    <xdr:rowOff>76200</xdr:rowOff>
                  </to>
                </anchor>
              </controlPr>
            </control>
          </mc:Choice>
        </mc:AlternateContent>
        <mc:AlternateContent xmlns:mc="http://schemas.openxmlformats.org/markup-compatibility/2006">
          <mc:Choice Requires="x14">
            <control shapeId="1027" r:id="rId6" name="Button 3">
              <controlPr defaultSize="0" print="0" autoFill="0" autoPict="0" macro="[0]!Receipt_Numbers">
                <anchor>
                  <from>
                    <xdr:col>5</xdr:col>
                    <xdr:colOff>400050</xdr:colOff>
                    <xdr:row>218</xdr:row>
                    <xdr:rowOff>133350</xdr:rowOff>
                  </from>
                  <to>
                    <xdr:col>5</xdr:col>
                    <xdr:colOff>1666875</xdr:colOff>
                    <xdr:row>221</xdr:row>
                    <xdr:rowOff>76200</xdr:rowOff>
                  </to>
                </anchor>
              </controlPr>
            </control>
          </mc:Choice>
        </mc:AlternateContent>
        <mc:AlternateContent xmlns:mc="http://schemas.openxmlformats.org/markup-compatibility/2006">
          <mc:Choice Requires="x14">
            <control shapeId="1028" r:id="rId7" name="Button 4">
              <controlPr defaultSize="0" print="0" autoFill="0" autoPict="0" macro="[0]!Generate_Report">
                <anchor>
                  <from>
                    <xdr:col>3</xdr:col>
                    <xdr:colOff>1381125</xdr:colOff>
                    <xdr:row>218</xdr:row>
                    <xdr:rowOff>133350</xdr:rowOff>
                  </from>
                  <to>
                    <xdr:col>4</xdr:col>
                    <xdr:colOff>1209675</xdr:colOff>
                    <xdr:row>221</xdr:row>
                    <xdr:rowOff>76200</xdr:rowOff>
                  </to>
                </anchor>
              </controlPr>
            </control>
          </mc:Choice>
        </mc:AlternateContent>
        <mc:AlternateContent xmlns:mc="http://schemas.openxmlformats.org/markup-compatibility/2006">
          <mc:Choice Requires="x14">
            <control shapeId="1029" r:id="rId8" name="Button 5">
              <controlPr defaultSize="0" print="0" autoFill="0" autoPict="0" macro="[0]!Record_Expenditure">
                <anchor>
                  <from>
                    <xdr:col>2</xdr:col>
                    <xdr:colOff>1276350</xdr:colOff>
                    <xdr:row>218</xdr:row>
                    <xdr:rowOff>133350</xdr:rowOff>
                  </from>
                  <to>
                    <xdr:col>3</xdr:col>
                    <xdr:colOff>838200</xdr:colOff>
                    <xdr:row>221</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Module2.Income">
                <anchor>
                  <from>
                    <xdr:col>1</xdr:col>
                    <xdr:colOff>276225</xdr:colOff>
                    <xdr:row>218</xdr:row>
                    <xdr:rowOff>133350</xdr:rowOff>
                  </from>
                  <to>
                    <xdr:col>2</xdr:col>
                    <xdr:colOff>723900</xdr:colOff>
                    <xdr:row>221</xdr:row>
                    <xdr:rowOff>76200</xdr:rowOff>
                  </to>
                </anchor>
              </controlPr>
            </control>
          </mc:Choice>
        </mc:AlternateContent>
        <mc:AlternateContent xmlns:mc="http://schemas.openxmlformats.org/markup-compatibility/2006">
          <mc:Choice Requires="x14">
            <control shapeId="1032" r:id="rId10" name="Button 8">
              <controlPr defaultSize="0" print="0" autoFill="0" autoPict="0" macro="[0]!Heritage_Funds">
                <anchor>
                  <from>
                    <xdr:col>7</xdr:col>
                    <xdr:colOff>885825</xdr:colOff>
                    <xdr:row>218</xdr:row>
                    <xdr:rowOff>133350</xdr:rowOff>
                  </from>
                  <to>
                    <xdr:col>8</xdr:col>
                    <xdr:colOff>1038225</xdr:colOff>
                    <xdr:row>221</xdr:row>
                    <xdr:rowOff>76200</xdr:rowOff>
                  </to>
                </anchor>
              </controlPr>
            </control>
          </mc:Choice>
        </mc:AlternateContent>
      </controls>
    </mc:Choice>
  </mc:AlternateContent>
  <tableParts count="2">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Y107"/>
  <sheetViews>
    <sheetView showGridLines="0" zoomScale="85" zoomScaleNormal="85" workbookViewId="0">
      <pane ySplit="1" topLeftCell="A2" activePane="bottomLeft" state="frozen"/>
      <selection activeCell="F371" sqref="F371"/>
      <selection pane="bottomLeft" activeCell="D108" sqref="D108"/>
    </sheetView>
  </sheetViews>
  <sheetFormatPr defaultColWidth="10" defaultRowHeight="15" x14ac:dyDescent="0.25"/>
  <cols>
    <col min="1" max="1" width="11.28515625" style="179" bestFit="1" customWidth="1"/>
    <col min="2" max="2" width="10.7109375" style="7" customWidth="1"/>
    <col min="3" max="3" width="23.140625" style="7" customWidth="1"/>
    <col min="4" max="4" width="19.7109375" style="7" customWidth="1"/>
    <col min="5" max="5" width="18.28515625" style="7" customWidth="1"/>
    <col min="6" max="6" width="21.28515625" style="7" customWidth="1"/>
    <col min="7" max="7" width="16.5703125" style="7" customWidth="1"/>
    <col min="8" max="8" width="11.7109375" style="176" bestFit="1" customWidth="1"/>
    <col min="9" max="9" width="18.85546875" style="176" customWidth="1"/>
    <col min="10" max="10" width="11.85546875" style="176" bestFit="1" customWidth="1"/>
    <col min="11" max="11" width="24" style="176" customWidth="1"/>
    <col min="12" max="12" width="14.28515625" style="176" bestFit="1" customWidth="1"/>
    <col min="13" max="13" width="34.140625" style="176" customWidth="1"/>
    <col min="14" max="14" width="27.5703125" style="176" bestFit="1" customWidth="1"/>
    <col min="15" max="15" width="22.85546875" style="176" customWidth="1"/>
    <col min="16" max="16" width="29.140625" style="176" customWidth="1"/>
    <col min="17" max="17" width="9.28515625" style="176" bestFit="1" customWidth="1"/>
    <col min="18" max="18" width="17" style="176" bestFit="1" customWidth="1"/>
    <col min="19" max="19" width="17.28515625" style="176" bestFit="1" customWidth="1"/>
    <col min="20" max="20" width="17" style="176" bestFit="1" customWidth="1"/>
    <col min="21" max="21" width="19.7109375" style="176" bestFit="1" customWidth="1"/>
    <col min="22" max="22" width="19.7109375" style="176" customWidth="1"/>
    <col min="23" max="23" width="17.28515625" style="176" bestFit="1" customWidth="1"/>
    <col min="24" max="24" width="9.5703125" style="176" bestFit="1" customWidth="1"/>
    <col min="25" max="25" width="11.5703125" style="7" bestFit="1" customWidth="1"/>
    <col min="26" max="26" width="11.140625" style="176" bestFit="1" customWidth="1"/>
    <col min="27" max="16384" width="10" style="176"/>
  </cols>
  <sheetData>
    <row r="1" spans="1:25" x14ac:dyDescent="0.25">
      <c r="A1" s="175" t="s">
        <v>21</v>
      </c>
      <c r="B1" t="s">
        <v>0</v>
      </c>
      <c r="C1" t="s">
        <v>1</v>
      </c>
      <c r="D1" t="s">
        <v>2</v>
      </c>
      <c r="E1" t="s">
        <v>3</v>
      </c>
      <c r="F1" t="s">
        <v>149</v>
      </c>
      <c r="G1" t="s">
        <v>25</v>
      </c>
      <c r="H1" s="175" t="s">
        <v>26</v>
      </c>
      <c r="I1" s="175" t="s">
        <v>27</v>
      </c>
      <c r="J1" s="175" t="s">
        <v>121</v>
      </c>
      <c r="K1" s="175" t="s">
        <v>28</v>
      </c>
      <c r="L1" s="175" t="s">
        <v>29</v>
      </c>
      <c r="M1" s="175" t="s">
        <v>30</v>
      </c>
      <c r="N1" s="175" t="s">
        <v>161</v>
      </c>
      <c r="O1" s="175" t="s">
        <v>31</v>
      </c>
      <c r="P1" s="175" t="s">
        <v>32</v>
      </c>
      <c r="Q1" s="175" t="s">
        <v>124</v>
      </c>
      <c r="R1" s="175" t="s">
        <v>173</v>
      </c>
      <c r="S1" s="175" t="s">
        <v>48</v>
      </c>
      <c r="T1" s="175" t="s">
        <v>84</v>
      </c>
      <c r="U1" s="175" t="s">
        <v>6</v>
      </c>
      <c r="V1" s="175" t="s">
        <v>132</v>
      </c>
      <c r="W1" s="175" t="s">
        <v>133</v>
      </c>
      <c r="X1" s="175" t="s">
        <v>82</v>
      </c>
      <c r="Y1" t="s">
        <v>7</v>
      </c>
    </row>
    <row r="2" spans="1:25" x14ac:dyDescent="0.25">
      <c r="A2" s="177">
        <v>44205</v>
      </c>
      <c r="B2" s="180">
        <f>IncomeSummary[[#This Row],[TITHE]]</f>
        <v>225</v>
      </c>
      <c r="C2" s="180">
        <f>IncomeSummary[[#This Row],[SYSTEMATIC OFFERING]]</f>
        <v>144</v>
      </c>
      <c r="D2" s="180">
        <f>IncomeSummary[[#This Row],[THANKS OFFERING]]</f>
        <v>35</v>
      </c>
      <c r="E2" s="180">
        <f>IncomeSummary[[#This Row],[LOOSE OFFERING]]</f>
        <v>40.5</v>
      </c>
      <c r="F2" s="180">
        <f>IncomeSummary[[#This Row],[SABBATH SCHOOL OFFERING]]</f>
        <v>118.8</v>
      </c>
      <c r="G2" s="180">
        <f>IncomeSummary[[#This Row],[WELFARE]]</f>
        <v>186</v>
      </c>
      <c r="H2" s="178">
        <v>0</v>
      </c>
      <c r="I2" s="178">
        <v>0</v>
      </c>
      <c r="J2" s="178">
        <v>0</v>
      </c>
      <c r="K2" s="178">
        <f>IncomeSummary[[#This Row],[ BIBLE SOCIETY HARVEST]]</f>
        <v>0</v>
      </c>
      <c r="L2" s="178">
        <v>400</v>
      </c>
      <c r="M2" s="178">
        <v>0</v>
      </c>
      <c r="N2" s="178">
        <v>0</v>
      </c>
      <c r="O2" s="178">
        <v>0</v>
      </c>
      <c r="P2" s="178">
        <v>0</v>
      </c>
      <c r="Q2" s="178">
        <v>0</v>
      </c>
      <c r="R2" s="178"/>
      <c r="S2" s="178">
        <v>0</v>
      </c>
      <c r="T2" s="178">
        <v>0</v>
      </c>
      <c r="U2" s="178">
        <f>IncomeSummary[[#This Row],[ANNUAL HARVEST]]</f>
        <v>0</v>
      </c>
      <c r="V2" s="178"/>
      <c r="W2" s="178">
        <v>0</v>
      </c>
      <c r="X2" s="178">
        <v>0</v>
      </c>
      <c r="Y2" s="180">
        <f>SUM(WeeklyIncome[[#This Row],[TITHE]:[RENT]])</f>
        <v>1149.3</v>
      </c>
    </row>
    <row r="3" spans="1:25" x14ac:dyDescent="0.25">
      <c r="A3" s="177">
        <f>DATE(YEAR(A2),MONTH(A2),DAY(A2)+7)</f>
        <v>44212</v>
      </c>
      <c r="B3" s="180">
        <f>IncomeSummary[[#This Row],[TITHE]]</f>
        <v>262</v>
      </c>
      <c r="C3" s="180">
        <f>IncomeSummary[[#This Row],[SYSTEMATIC OFFERING]]</f>
        <v>197</v>
      </c>
      <c r="D3" s="180">
        <f>IncomeSummary[[#This Row],[THANKS OFFERING]]</f>
        <v>70</v>
      </c>
      <c r="E3" s="180">
        <f>IncomeSummary[[#This Row],[LOOSE OFFERING]]</f>
        <v>65</v>
      </c>
      <c r="F3" s="180">
        <f>IncomeSummary[[#This Row],[SABBATH SCHOOL OFFERING]]</f>
        <v>205.8</v>
      </c>
      <c r="G3" s="180">
        <f>IncomeSummary[[#This Row],[WELFARE]]</f>
        <v>114</v>
      </c>
      <c r="H3" s="178">
        <v>0</v>
      </c>
      <c r="I3" s="178">
        <v>0</v>
      </c>
      <c r="J3" s="178">
        <v>0</v>
      </c>
      <c r="K3" s="178">
        <f>IncomeSummary[[#This Row],[ BIBLE SOCIETY HARVEST]]</f>
        <v>0</v>
      </c>
      <c r="L3" s="178">
        <v>0</v>
      </c>
      <c r="M3" s="178">
        <v>100</v>
      </c>
      <c r="N3" s="178">
        <v>0</v>
      </c>
      <c r="O3" s="178">
        <v>0</v>
      </c>
      <c r="P3" s="178">
        <v>0</v>
      </c>
      <c r="Q3" s="178">
        <v>0</v>
      </c>
      <c r="R3" s="178"/>
      <c r="S3" s="178">
        <v>0</v>
      </c>
      <c r="T3" s="178">
        <v>0</v>
      </c>
      <c r="U3" s="178">
        <f>IncomeSummary[[#This Row],[ANNUAL HARVEST]]</f>
        <v>0</v>
      </c>
      <c r="V3" s="178"/>
      <c r="W3" s="178">
        <v>0</v>
      </c>
      <c r="X3" s="178">
        <v>0</v>
      </c>
      <c r="Y3" s="180">
        <f>SUM(WeeklyIncome[[#This Row],[TITHE]:[RENT]])</f>
        <v>1013.8</v>
      </c>
    </row>
    <row r="4" spans="1:25" x14ac:dyDescent="0.25">
      <c r="A4" s="177">
        <f t="shared" ref="A4:A67" si="0">DATE(YEAR(A3),MONTH(A3),DAY(A3)+7)</f>
        <v>44219</v>
      </c>
      <c r="B4" s="180">
        <f>IncomeSummary[[#This Row],[TITHE]]</f>
        <v>376</v>
      </c>
      <c r="C4" s="180">
        <f>IncomeSummary[[#This Row],[SYSTEMATIC OFFERING]]</f>
        <v>196</v>
      </c>
      <c r="D4" s="180">
        <f>IncomeSummary[[#This Row],[THANKS OFFERING]]</f>
        <v>50</v>
      </c>
      <c r="E4" s="180">
        <f>IncomeSummary[[#This Row],[LOOSE OFFERING]]</f>
        <v>100</v>
      </c>
      <c r="F4" s="180">
        <f>IncomeSummary[[#This Row],[SABBATH SCHOOL OFFERING]]</f>
        <v>214.5</v>
      </c>
      <c r="G4" s="180">
        <f>IncomeSummary[[#This Row],[WELFARE]]</f>
        <v>64</v>
      </c>
      <c r="H4" s="178">
        <v>0</v>
      </c>
      <c r="I4" s="178">
        <v>0</v>
      </c>
      <c r="J4" s="178">
        <v>0</v>
      </c>
      <c r="K4" s="178">
        <f>IncomeSummary[[#This Row],[ BIBLE SOCIETY HARVEST]]</f>
        <v>0</v>
      </c>
      <c r="L4" s="178">
        <v>200</v>
      </c>
      <c r="M4" s="178">
        <v>0</v>
      </c>
      <c r="N4" s="178">
        <v>0</v>
      </c>
      <c r="O4" s="178">
        <v>237</v>
      </c>
      <c r="P4" s="178">
        <v>0</v>
      </c>
      <c r="Q4" s="178">
        <v>0</v>
      </c>
      <c r="R4" s="178"/>
      <c r="S4" s="178">
        <v>0</v>
      </c>
      <c r="T4" s="178">
        <v>0</v>
      </c>
      <c r="U4" s="178">
        <f>IncomeSummary[[#This Row],[ANNUAL HARVEST]]</f>
        <v>0</v>
      </c>
      <c r="V4" s="178"/>
      <c r="W4" s="178">
        <v>0</v>
      </c>
      <c r="X4" s="178">
        <v>0</v>
      </c>
      <c r="Y4" s="180">
        <f>SUM(WeeklyIncome[[#This Row],[TITHE]:[RENT]])</f>
        <v>1437.5</v>
      </c>
    </row>
    <row r="5" spans="1:25" x14ac:dyDescent="0.25">
      <c r="A5" s="177">
        <f t="shared" si="0"/>
        <v>44226</v>
      </c>
      <c r="B5" s="180">
        <f>IncomeSummary[[#This Row],[TITHE]]</f>
        <v>726</v>
      </c>
      <c r="C5" s="180">
        <f>IncomeSummary[[#This Row],[SYSTEMATIC OFFERING]]</f>
        <v>141</v>
      </c>
      <c r="D5" s="180">
        <f>IncomeSummary[[#This Row],[THANKS OFFERING]]</f>
        <v>0</v>
      </c>
      <c r="E5" s="180">
        <f>IncomeSummary[[#This Row],[LOOSE OFFERING]]</f>
        <v>19</v>
      </c>
      <c r="F5" s="180">
        <f>IncomeSummary[[#This Row],[SABBATH SCHOOL OFFERING]]</f>
        <v>35</v>
      </c>
      <c r="G5" s="180">
        <f>IncomeSummary[[#This Row],[WELFARE]]</f>
        <v>168</v>
      </c>
      <c r="H5" s="178">
        <v>0</v>
      </c>
      <c r="I5" s="178">
        <v>0</v>
      </c>
      <c r="J5" s="178">
        <v>0</v>
      </c>
      <c r="K5" s="178">
        <f>IncomeSummary[[#This Row],[ BIBLE SOCIETY HARVEST]]</f>
        <v>0</v>
      </c>
      <c r="L5" s="178">
        <v>0</v>
      </c>
      <c r="M5" s="178">
        <v>1335</v>
      </c>
      <c r="N5" s="178">
        <v>0</v>
      </c>
      <c r="O5" s="178">
        <v>0</v>
      </c>
      <c r="P5" s="178">
        <v>0</v>
      </c>
      <c r="Q5" s="178">
        <v>0</v>
      </c>
      <c r="R5" s="178"/>
      <c r="S5" s="178">
        <v>0</v>
      </c>
      <c r="T5" s="178">
        <v>0</v>
      </c>
      <c r="U5" s="178">
        <f>IncomeSummary[[#This Row],[ANNUAL HARVEST]]</f>
        <v>0</v>
      </c>
      <c r="V5" s="178"/>
      <c r="W5" s="178">
        <v>0</v>
      </c>
      <c r="X5" s="178">
        <v>0</v>
      </c>
      <c r="Y5" s="180">
        <f>SUM(WeeklyIncome[[#This Row],[TITHE]:[RENT]])</f>
        <v>2424</v>
      </c>
    </row>
    <row r="6" spans="1:25" hidden="1" x14ac:dyDescent="0.25">
      <c r="A6" s="177">
        <f t="shared" si="0"/>
        <v>44233</v>
      </c>
      <c r="B6" s="180">
        <f>IncomeSummary[[#This Row],[TITHE]]</f>
        <v>302</v>
      </c>
      <c r="C6" s="180">
        <f>IncomeSummary[[#This Row],[SYSTEMATIC OFFERING]]</f>
        <v>188</v>
      </c>
      <c r="D6" s="180">
        <f>IncomeSummary[[#This Row],[THANKS OFFERING]]</f>
        <v>70</v>
      </c>
      <c r="E6" s="180">
        <f>IncomeSummary[[#This Row],[LOOSE OFFERING]]</f>
        <v>50</v>
      </c>
      <c r="F6" s="180">
        <f>IncomeSummary[[#This Row],[SABBATH SCHOOL OFFERING]]</f>
        <v>119</v>
      </c>
      <c r="G6" s="180">
        <f>IncomeSummary[[#This Row],[WELFARE]]</f>
        <v>82</v>
      </c>
      <c r="H6" s="178">
        <v>0</v>
      </c>
      <c r="I6" s="178">
        <v>0</v>
      </c>
      <c r="J6" s="178">
        <v>0</v>
      </c>
      <c r="K6" s="178">
        <f>IncomeSummary[[#This Row],[ BIBLE SOCIETY HARVEST]]</f>
        <v>0</v>
      </c>
      <c r="L6" s="178">
        <v>0</v>
      </c>
      <c r="M6" s="178">
        <v>0</v>
      </c>
      <c r="N6" s="178">
        <v>0</v>
      </c>
      <c r="O6" s="178">
        <v>0</v>
      </c>
      <c r="P6" s="178">
        <v>0</v>
      </c>
      <c r="Q6" s="178">
        <v>0</v>
      </c>
      <c r="R6" s="178"/>
      <c r="S6" s="178">
        <v>0</v>
      </c>
      <c r="T6" s="178">
        <v>0</v>
      </c>
      <c r="U6" s="178">
        <f>IncomeSummary[[#This Row],[ANNUAL HARVEST]]</f>
        <v>0</v>
      </c>
      <c r="V6" s="178"/>
      <c r="W6" s="178">
        <v>0</v>
      </c>
      <c r="X6" s="178">
        <v>0</v>
      </c>
      <c r="Y6" s="180">
        <f>SUM(WeeklyIncome[[#This Row],[TITHE]:[RENT]])</f>
        <v>811</v>
      </c>
    </row>
    <row r="7" spans="1:25" hidden="1" x14ac:dyDescent="0.25">
      <c r="A7" s="177">
        <f t="shared" si="0"/>
        <v>44240</v>
      </c>
      <c r="B7" s="180">
        <f>IncomeSummary[[#This Row],[TITHE]]</f>
        <v>176</v>
      </c>
      <c r="C7" s="180">
        <f>IncomeSummary[[#This Row],[SYSTEMATIC OFFERING]]</f>
        <v>166</v>
      </c>
      <c r="D7" s="180">
        <f>IncomeSummary[[#This Row],[THANKS OFFERING]]</f>
        <v>7</v>
      </c>
      <c r="E7" s="180">
        <f>IncomeSummary[[#This Row],[LOOSE OFFERING]]</f>
        <v>46</v>
      </c>
      <c r="F7" s="180">
        <f>IncomeSummary[[#This Row],[SABBATH SCHOOL OFFERING]]</f>
        <v>44.4</v>
      </c>
      <c r="G7" s="180">
        <f>IncomeSummary[[#This Row],[WELFARE]]</f>
        <v>0</v>
      </c>
      <c r="H7" s="178">
        <v>0</v>
      </c>
      <c r="I7" s="178">
        <v>0</v>
      </c>
      <c r="J7" s="178">
        <v>0</v>
      </c>
      <c r="K7" s="178">
        <f>IncomeSummary[[#This Row],[ BIBLE SOCIETY HARVEST]]</f>
        <v>0</v>
      </c>
      <c r="L7" s="178">
        <v>0</v>
      </c>
      <c r="M7" s="178">
        <v>0</v>
      </c>
      <c r="N7" s="178">
        <v>0</v>
      </c>
      <c r="O7" s="178">
        <v>0</v>
      </c>
      <c r="P7" s="178">
        <v>0</v>
      </c>
      <c r="Q7" s="178">
        <v>0</v>
      </c>
      <c r="R7" s="178"/>
      <c r="S7" s="178">
        <v>0</v>
      </c>
      <c r="T7" s="178">
        <v>0</v>
      </c>
      <c r="U7" s="178">
        <f>IncomeSummary[[#This Row],[ANNUAL HARVEST]]</f>
        <v>0</v>
      </c>
      <c r="V7" s="178"/>
      <c r="W7" s="178">
        <v>0</v>
      </c>
      <c r="X7" s="178">
        <v>0</v>
      </c>
      <c r="Y7" s="180">
        <f>SUM(WeeklyIncome[[#This Row],[TITHE]:[RENT]])</f>
        <v>439.4</v>
      </c>
    </row>
    <row r="8" spans="1:25" hidden="1" x14ac:dyDescent="0.25">
      <c r="A8" s="177">
        <f t="shared" si="0"/>
        <v>44247</v>
      </c>
      <c r="B8" s="180">
        <f>IncomeSummary[[#This Row],[TITHE]]</f>
        <v>377</v>
      </c>
      <c r="C8" s="180">
        <f>IncomeSummary[[#This Row],[SYSTEMATIC OFFERING]]</f>
        <v>241</v>
      </c>
      <c r="D8" s="180">
        <f>IncomeSummary[[#This Row],[THANKS OFFERING]]</f>
        <v>30</v>
      </c>
      <c r="E8" s="180">
        <f>IncomeSummary[[#This Row],[LOOSE OFFERING]]</f>
        <v>90</v>
      </c>
      <c r="F8" s="180">
        <f>IncomeSummary[[#This Row],[SABBATH SCHOOL OFFERING]]</f>
        <v>292</v>
      </c>
      <c r="G8" s="180">
        <f>IncomeSummary[[#This Row],[WELFARE]]</f>
        <v>56</v>
      </c>
      <c r="H8" s="178">
        <v>0</v>
      </c>
      <c r="I8" s="178">
        <v>0</v>
      </c>
      <c r="J8" s="178">
        <v>0</v>
      </c>
      <c r="K8" s="178">
        <f>IncomeSummary[[#This Row],[ BIBLE SOCIETY HARVEST]]</f>
        <v>420</v>
      </c>
      <c r="L8" s="178">
        <v>0</v>
      </c>
      <c r="M8" s="178">
        <v>0</v>
      </c>
      <c r="N8" s="178">
        <v>0</v>
      </c>
      <c r="O8" s="178">
        <v>0</v>
      </c>
      <c r="P8" s="178">
        <v>0</v>
      </c>
      <c r="Q8" s="178">
        <v>0</v>
      </c>
      <c r="R8" s="178"/>
      <c r="S8" s="178">
        <v>0</v>
      </c>
      <c r="T8" s="178">
        <v>0</v>
      </c>
      <c r="U8" s="178">
        <f>IncomeSummary[[#This Row],[ANNUAL HARVEST]]</f>
        <v>0</v>
      </c>
      <c r="V8" s="178"/>
      <c r="W8" s="178">
        <v>0</v>
      </c>
      <c r="X8" s="178">
        <v>0</v>
      </c>
      <c r="Y8" s="180">
        <f>SUM(WeeklyIncome[[#This Row],[TITHE]:[RENT]])</f>
        <v>1506</v>
      </c>
    </row>
    <row r="9" spans="1:25" hidden="1" x14ac:dyDescent="0.25">
      <c r="A9" s="177">
        <f t="shared" si="0"/>
        <v>44254</v>
      </c>
      <c r="B9" s="180">
        <f>IncomeSummary[[#This Row],[TITHE]]</f>
        <v>420</v>
      </c>
      <c r="C9" s="180">
        <f>IncomeSummary[[#This Row],[SYSTEMATIC OFFERING]]</f>
        <v>226</v>
      </c>
      <c r="D9" s="180">
        <f>IncomeSummary[[#This Row],[THANKS OFFERING]]</f>
        <v>50</v>
      </c>
      <c r="E9" s="180">
        <f>IncomeSummary[[#This Row],[LOOSE OFFERING]]</f>
        <v>40</v>
      </c>
      <c r="F9" s="180">
        <f>IncomeSummary[[#This Row],[SABBATH SCHOOL OFFERING]]</f>
        <v>175.2</v>
      </c>
      <c r="G9" s="180">
        <f>IncomeSummary[[#This Row],[WELFARE]]</f>
        <v>108</v>
      </c>
      <c r="H9" s="178">
        <v>0</v>
      </c>
      <c r="I9" s="178">
        <v>0</v>
      </c>
      <c r="J9" s="178">
        <v>0</v>
      </c>
      <c r="K9" s="178">
        <f>IncomeSummary[[#This Row],[ BIBLE SOCIETY HARVEST]]</f>
        <v>0</v>
      </c>
      <c r="L9" s="178">
        <v>0</v>
      </c>
      <c r="M9" s="178">
        <v>0</v>
      </c>
      <c r="N9" s="178">
        <v>0</v>
      </c>
      <c r="O9" s="178">
        <v>0</v>
      </c>
      <c r="P9" s="178">
        <v>0</v>
      </c>
      <c r="Q9" s="178">
        <v>0</v>
      </c>
      <c r="R9" s="178"/>
      <c r="S9" s="178">
        <v>0</v>
      </c>
      <c r="T9" s="178">
        <v>0</v>
      </c>
      <c r="U9" s="178">
        <f>IncomeSummary[[#This Row],[ANNUAL HARVEST]]</f>
        <v>0</v>
      </c>
      <c r="V9" s="178"/>
      <c r="W9" s="178">
        <v>0</v>
      </c>
      <c r="X9" s="178">
        <v>0</v>
      </c>
      <c r="Y9" s="180">
        <f>SUM(WeeklyIncome[[#This Row],[TITHE]:[RENT]])</f>
        <v>1019.2</v>
      </c>
    </row>
    <row r="10" spans="1:25" hidden="1" x14ac:dyDescent="0.25">
      <c r="A10" s="177">
        <f t="shared" si="0"/>
        <v>44261</v>
      </c>
      <c r="B10" s="180">
        <f>IncomeSummary[[#This Row],[TITHE]]</f>
        <v>329</v>
      </c>
      <c r="C10" s="180">
        <f>IncomeSummary[[#This Row],[SYSTEMATIC OFFERING]]</f>
        <v>195</v>
      </c>
      <c r="D10" s="180">
        <f>IncomeSummary[[#This Row],[THANKS OFFERING]]</f>
        <v>10</v>
      </c>
      <c r="E10" s="180">
        <f>IncomeSummary[[#This Row],[LOOSE OFFERING]]</f>
        <v>14</v>
      </c>
      <c r="F10" s="180">
        <f>IncomeSummary[[#This Row],[SABBATH SCHOOL OFFERING]]</f>
        <v>77</v>
      </c>
      <c r="G10" s="180">
        <f>IncomeSummary[[#This Row],[WELFARE]]</f>
        <v>92</v>
      </c>
      <c r="H10" s="178">
        <v>0</v>
      </c>
      <c r="I10" s="178">
        <v>0</v>
      </c>
      <c r="J10" s="178">
        <v>0</v>
      </c>
      <c r="K10" s="178">
        <f>IncomeSummary[[#This Row],[ BIBLE SOCIETY HARVEST]]</f>
        <v>0</v>
      </c>
      <c r="L10" s="178">
        <v>0</v>
      </c>
      <c r="M10" s="178">
        <v>0</v>
      </c>
      <c r="N10" s="178">
        <v>0</v>
      </c>
      <c r="O10" s="178">
        <v>0</v>
      </c>
      <c r="P10" s="178">
        <v>325</v>
      </c>
      <c r="Q10" s="178">
        <v>0</v>
      </c>
      <c r="R10" s="178"/>
      <c r="S10" s="178">
        <v>0</v>
      </c>
      <c r="T10" s="178">
        <v>0</v>
      </c>
      <c r="U10" s="178">
        <f>IncomeSummary[[#This Row],[ANNUAL HARVEST]]</f>
        <v>0</v>
      </c>
      <c r="V10" s="178"/>
      <c r="W10" s="178">
        <v>0</v>
      </c>
      <c r="X10" s="178">
        <v>0</v>
      </c>
      <c r="Y10" s="180">
        <f>SUM(WeeklyIncome[[#This Row],[TITHE]:[RENT]])</f>
        <v>1042</v>
      </c>
    </row>
    <row r="11" spans="1:25" hidden="1" x14ac:dyDescent="0.25">
      <c r="A11" s="177">
        <f t="shared" si="0"/>
        <v>44268</v>
      </c>
      <c r="B11" s="180">
        <f>IncomeSummary[[#This Row],[TITHE]]</f>
        <v>299</v>
      </c>
      <c r="C11" s="180">
        <f>IncomeSummary[[#This Row],[SYSTEMATIC OFFERING]]</f>
        <v>202</v>
      </c>
      <c r="D11" s="180">
        <f>IncomeSummary[[#This Row],[THANKS OFFERING]]</f>
        <v>20</v>
      </c>
      <c r="E11" s="180">
        <f>IncomeSummary[[#This Row],[LOOSE OFFERING]]</f>
        <v>50</v>
      </c>
      <c r="F11" s="180">
        <f>IncomeSummary[[#This Row],[SABBATH SCHOOL OFFERING]]</f>
        <v>180</v>
      </c>
      <c r="G11" s="180">
        <f>IncomeSummary[[#This Row],[WELFARE]]</f>
        <v>12</v>
      </c>
      <c r="H11" s="178">
        <v>0</v>
      </c>
      <c r="I11" s="178">
        <v>0</v>
      </c>
      <c r="J11" s="178">
        <v>0</v>
      </c>
      <c r="K11" s="178">
        <f>IncomeSummary[[#This Row],[ BIBLE SOCIETY HARVEST]]</f>
        <v>0</v>
      </c>
      <c r="L11" s="178">
        <v>0</v>
      </c>
      <c r="M11" s="178">
        <v>658</v>
      </c>
      <c r="N11" s="178">
        <v>0</v>
      </c>
      <c r="O11" s="178">
        <v>0</v>
      </c>
      <c r="P11" s="178">
        <v>0</v>
      </c>
      <c r="Q11" s="178">
        <v>0</v>
      </c>
      <c r="R11" s="178"/>
      <c r="S11" s="178">
        <v>0</v>
      </c>
      <c r="T11" s="178">
        <v>0</v>
      </c>
      <c r="U11" s="178">
        <f>IncomeSummary[[#This Row],[ANNUAL HARVEST]]</f>
        <v>0</v>
      </c>
      <c r="V11" s="178"/>
      <c r="W11" s="178">
        <v>0</v>
      </c>
      <c r="X11" s="178">
        <v>0</v>
      </c>
      <c r="Y11" s="180">
        <f>SUM(WeeklyIncome[[#This Row],[TITHE]:[RENT]])</f>
        <v>1421</v>
      </c>
    </row>
    <row r="12" spans="1:25" hidden="1" x14ac:dyDescent="0.25">
      <c r="A12" s="177">
        <f t="shared" si="0"/>
        <v>44275</v>
      </c>
      <c r="B12" s="180">
        <f>IncomeSummary[[#This Row],[TITHE]]</f>
        <v>191</v>
      </c>
      <c r="C12" s="180">
        <f>IncomeSummary[[#This Row],[SYSTEMATIC OFFERING]]</f>
        <v>117</v>
      </c>
      <c r="D12" s="180">
        <f>IncomeSummary[[#This Row],[THANKS OFFERING]]</f>
        <v>20</v>
      </c>
      <c r="E12" s="180">
        <f>IncomeSummary[[#This Row],[LOOSE OFFERING]]</f>
        <v>30</v>
      </c>
      <c r="F12" s="180">
        <f>IncomeSummary[[#This Row],[SABBATH SCHOOL OFFERING]]</f>
        <v>44</v>
      </c>
      <c r="G12" s="180">
        <f>IncomeSummary[[#This Row],[WELFARE]]</f>
        <v>74</v>
      </c>
      <c r="H12" s="178">
        <v>0</v>
      </c>
      <c r="I12" s="178">
        <v>0</v>
      </c>
      <c r="J12" s="178">
        <v>0</v>
      </c>
      <c r="K12" s="178">
        <f>IncomeSummary[[#This Row],[ BIBLE SOCIETY HARVEST]]</f>
        <v>0</v>
      </c>
      <c r="L12" s="178">
        <v>0</v>
      </c>
      <c r="M12" s="178">
        <v>0</v>
      </c>
      <c r="N12" s="178">
        <v>0</v>
      </c>
      <c r="O12" s="178">
        <v>0</v>
      </c>
      <c r="P12" s="178">
        <v>0</v>
      </c>
      <c r="Q12" s="178">
        <v>0</v>
      </c>
      <c r="R12" s="178"/>
      <c r="S12" s="178">
        <v>0</v>
      </c>
      <c r="T12" s="178">
        <v>0</v>
      </c>
      <c r="U12" s="178">
        <f>IncomeSummary[[#This Row],[ANNUAL HARVEST]]</f>
        <v>0</v>
      </c>
      <c r="V12" s="178"/>
      <c r="W12" s="178">
        <v>0</v>
      </c>
      <c r="X12" s="178">
        <v>0</v>
      </c>
      <c r="Y12" s="180">
        <f>SUM(WeeklyIncome[[#This Row],[TITHE]:[RENT]])</f>
        <v>476</v>
      </c>
    </row>
    <row r="13" spans="1:25" hidden="1" x14ac:dyDescent="0.25">
      <c r="A13" s="177">
        <f t="shared" si="0"/>
        <v>44282</v>
      </c>
      <c r="B13" s="180">
        <f>IncomeSummary[[#This Row],[TITHE]]</f>
        <v>669</v>
      </c>
      <c r="C13" s="180">
        <f>IncomeSummary[[#This Row],[SYSTEMATIC OFFERING]]</f>
        <v>178</v>
      </c>
      <c r="D13" s="180">
        <f>IncomeSummary[[#This Row],[THANKS OFFERING]]</f>
        <v>45</v>
      </c>
      <c r="E13" s="180">
        <f>IncomeSummary[[#This Row],[LOOSE OFFERING]]</f>
        <v>20</v>
      </c>
      <c r="F13" s="180">
        <f>IncomeSummary[[#This Row],[SABBATH SCHOOL OFFERING]]</f>
        <v>97</v>
      </c>
      <c r="G13" s="180">
        <f>IncomeSummary[[#This Row],[WELFARE]]</f>
        <v>66</v>
      </c>
      <c r="H13" s="178">
        <v>0</v>
      </c>
      <c r="I13" s="178">
        <v>0</v>
      </c>
      <c r="J13" s="178">
        <v>0</v>
      </c>
      <c r="K13" s="178">
        <f>IncomeSummary[[#This Row],[ BIBLE SOCIETY HARVEST]]</f>
        <v>0</v>
      </c>
      <c r="L13" s="178">
        <v>1100</v>
      </c>
      <c r="M13" s="178">
        <v>100</v>
      </c>
      <c r="N13" s="178">
        <v>0</v>
      </c>
      <c r="O13" s="178">
        <v>0</v>
      </c>
      <c r="P13" s="178">
        <v>0</v>
      </c>
      <c r="Q13" s="178">
        <v>0</v>
      </c>
      <c r="R13" s="178"/>
      <c r="S13" s="178">
        <v>0</v>
      </c>
      <c r="T13" s="178">
        <v>0</v>
      </c>
      <c r="U13" s="178">
        <f>IncomeSummary[[#This Row],[ANNUAL HARVEST]]</f>
        <v>0</v>
      </c>
      <c r="V13" s="178"/>
      <c r="W13" s="178">
        <v>0</v>
      </c>
      <c r="X13" s="178">
        <v>0</v>
      </c>
      <c r="Y13" s="180">
        <f>SUM(WeeklyIncome[[#This Row],[TITHE]:[RENT]])</f>
        <v>2275</v>
      </c>
    </row>
    <row r="14" spans="1:25" hidden="1" x14ac:dyDescent="0.25">
      <c r="A14" s="177">
        <f t="shared" si="0"/>
        <v>44289</v>
      </c>
      <c r="B14" s="180">
        <f>IncomeSummary[[#This Row],[TITHE]]</f>
        <v>283</v>
      </c>
      <c r="C14" s="180">
        <f>IncomeSummary[[#This Row],[SYSTEMATIC OFFERING]]</f>
        <v>223</v>
      </c>
      <c r="D14" s="180">
        <f>IncomeSummary[[#This Row],[THANKS OFFERING]]</f>
        <v>17</v>
      </c>
      <c r="E14" s="180">
        <f>IncomeSummary[[#This Row],[LOOSE OFFERING]]</f>
        <v>50</v>
      </c>
      <c r="F14" s="180">
        <f>IncomeSummary[[#This Row],[SABBATH SCHOOL OFFERING]]</f>
        <v>128.4</v>
      </c>
      <c r="G14" s="180">
        <f>IncomeSummary[[#This Row],[WELFARE]]</f>
        <v>72</v>
      </c>
      <c r="H14" s="178">
        <v>0</v>
      </c>
      <c r="I14" s="178">
        <v>0</v>
      </c>
      <c r="J14" s="178">
        <v>0</v>
      </c>
      <c r="K14" s="178">
        <f>IncomeSummary[[#This Row],[ BIBLE SOCIETY HARVEST]]</f>
        <v>0</v>
      </c>
      <c r="L14" s="178">
        <v>0</v>
      </c>
      <c r="M14" s="178">
        <v>0</v>
      </c>
      <c r="N14" s="178">
        <v>0</v>
      </c>
      <c r="O14" s="178">
        <v>0</v>
      </c>
      <c r="P14" s="178">
        <v>0</v>
      </c>
      <c r="Q14" s="178">
        <v>0</v>
      </c>
      <c r="R14" s="178"/>
      <c r="S14" s="178">
        <v>0</v>
      </c>
      <c r="T14" s="178">
        <v>0</v>
      </c>
      <c r="U14" s="178">
        <f>IncomeSummary[[#This Row],[ANNUAL HARVEST]]</f>
        <v>0</v>
      </c>
      <c r="V14" s="178"/>
      <c r="W14" s="178">
        <v>0</v>
      </c>
      <c r="X14" s="178">
        <v>0</v>
      </c>
      <c r="Y14" s="180">
        <f>SUM(WeeklyIncome[[#This Row],[TITHE]:[RENT]])</f>
        <v>773.4</v>
      </c>
    </row>
    <row r="15" spans="1:25" hidden="1" x14ac:dyDescent="0.25">
      <c r="A15" s="177">
        <f t="shared" si="0"/>
        <v>44296</v>
      </c>
      <c r="B15" s="180">
        <f>IncomeSummary[[#This Row],[TITHE]]</f>
        <v>600</v>
      </c>
      <c r="C15" s="180">
        <f>IncomeSummary[[#This Row],[SYSTEMATIC OFFERING]]</f>
        <v>301</v>
      </c>
      <c r="D15" s="180">
        <f>IncomeSummary[[#This Row],[THANKS OFFERING]]</f>
        <v>25</v>
      </c>
      <c r="E15" s="180">
        <f>IncomeSummary[[#This Row],[LOOSE OFFERING]]</f>
        <v>68</v>
      </c>
      <c r="F15" s="180">
        <f>IncomeSummary[[#This Row],[SABBATH SCHOOL OFFERING]]</f>
        <v>116.5</v>
      </c>
      <c r="G15" s="180">
        <f>IncomeSummary[[#This Row],[WELFARE]]</f>
        <v>50</v>
      </c>
      <c r="H15" s="178">
        <v>0</v>
      </c>
      <c r="I15" s="178">
        <v>0</v>
      </c>
      <c r="J15" s="178">
        <v>0</v>
      </c>
      <c r="K15" s="178">
        <f>IncomeSummary[[#This Row],[ BIBLE SOCIETY HARVEST]]</f>
        <v>0</v>
      </c>
      <c r="L15" s="178">
        <v>0</v>
      </c>
      <c r="M15" s="178">
        <v>0</v>
      </c>
      <c r="N15" s="178">
        <v>0</v>
      </c>
      <c r="O15" s="178">
        <v>0</v>
      </c>
      <c r="P15" s="178">
        <v>0</v>
      </c>
      <c r="Q15" s="178">
        <v>0</v>
      </c>
      <c r="R15" s="178"/>
      <c r="S15" s="178">
        <v>0</v>
      </c>
      <c r="T15" s="178">
        <v>0</v>
      </c>
      <c r="U15" s="178">
        <f>IncomeSummary[[#This Row],[ANNUAL HARVEST]]</f>
        <v>0</v>
      </c>
      <c r="V15" s="178"/>
      <c r="W15" s="178">
        <v>0</v>
      </c>
      <c r="X15" s="178">
        <v>0</v>
      </c>
      <c r="Y15" s="180">
        <f>SUM(WeeklyIncome[[#This Row],[TITHE]:[RENT]])</f>
        <v>1160.5</v>
      </c>
    </row>
    <row r="16" spans="1:25" hidden="1" x14ac:dyDescent="0.25">
      <c r="A16" s="177">
        <f t="shared" si="0"/>
        <v>44303</v>
      </c>
      <c r="B16" s="180">
        <f>IncomeSummary[[#This Row],[TITHE]]</f>
        <v>431</v>
      </c>
      <c r="C16" s="180">
        <f>IncomeSummary[[#This Row],[SYSTEMATIC OFFERING]]</f>
        <v>269</v>
      </c>
      <c r="D16" s="180">
        <f>IncomeSummary[[#This Row],[THANKS OFFERING]]</f>
        <v>30</v>
      </c>
      <c r="E16" s="180">
        <f>IncomeSummary[[#This Row],[LOOSE OFFERING]]</f>
        <v>90</v>
      </c>
      <c r="F16" s="180">
        <f>IncomeSummary[[#This Row],[SABBATH SCHOOL OFFERING]]</f>
        <v>138</v>
      </c>
      <c r="G16" s="180">
        <f>IncomeSummary[[#This Row],[WELFARE]]</f>
        <v>80</v>
      </c>
      <c r="H16" s="178">
        <v>0</v>
      </c>
      <c r="I16" s="178">
        <v>0</v>
      </c>
      <c r="J16" s="178">
        <v>0</v>
      </c>
      <c r="K16" s="178">
        <f>IncomeSummary[[#This Row],[ BIBLE SOCIETY HARVEST]]</f>
        <v>0</v>
      </c>
      <c r="L16" s="178">
        <v>0</v>
      </c>
      <c r="M16" s="178">
        <v>1450</v>
      </c>
      <c r="N16" s="178">
        <v>0</v>
      </c>
      <c r="O16" s="178">
        <v>0</v>
      </c>
      <c r="P16" s="178">
        <v>0</v>
      </c>
      <c r="Q16" s="178">
        <v>0</v>
      </c>
      <c r="R16" s="178"/>
      <c r="S16" s="178">
        <v>0</v>
      </c>
      <c r="T16" s="178">
        <v>0</v>
      </c>
      <c r="U16" s="178">
        <f>IncomeSummary[[#This Row],[ANNUAL HARVEST]]</f>
        <v>0</v>
      </c>
      <c r="V16" s="178"/>
      <c r="W16" s="178">
        <v>0</v>
      </c>
      <c r="X16" s="178">
        <v>0</v>
      </c>
      <c r="Y16" s="180">
        <f>SUM(WeeklyIncome[[#This Row],[TITHE]:[RENT]])</f>
        <v>2488</v>
      </c>
    </row>
    <row r="17" spans="1:25" hidden="1" x14ac:dyDescent="0.25">
      <c r="A17" s="177">
        <f t="shared" si="0"/>
        <v>44310</v>
      </c>
      <c r="B17" s="180">
        <f>IncomeSummary[[#This Row],[TITHE]]</f>
        <v>175</v>
      </c>
      <c r="C17" s="180">
        <f>IncomeSummary[[#This Row],[SYSTEMATIC OFFERING]]</f>
        <v>92</v>
      </c>
      <c r="D17" s="180">
        <f>IncomeSummary[[#This Row],[THANKS OFFERING]]</f>
        <v>12</v>
      </c>
      <c r="E17" s="180">
        <f>IncomeSummary[[#This Row],[LOOSE OFFERING]]</f>
        <v>50</v>
      </c>
      <c r="F17" s="180">
        <f>IncomeSummary[[#This Row],[SABBATH SCHOOL OFFERING]]</f>
        <v>75.5</v>
      </c>
      <c r="G17" s="180">
        <f>IncomeSummary[[#This Row],[WELFARE]]</f>
        <v>58</v>
      </c>
      <c r="H17" s="178">
        <v>0</v>
      </c>
      <c r="I17" s="178">
        <v>0</v>
      </c>
      <c r="J17" s="178">
        <v>0</v>
      </c>
      <c r="K17" s="178">
        <f>IncomeSummary[[#This Row],[ BIBLE SOCIETY HARVEST]]</f>
        <v>0</v>
      </c>
      <c r="L17" s="178">
        <v>1000</v>
      </c>
      <c r="M17" s="178">
        <v>0</v>
      </c>
      <c r="N17" s="178">
        <v>0</v>
      </c>
      <c r="O17" s="178">
        <v>0</v>
      </c>
      <c r="P17" s="178">
        <v>0</v>
      </c>
      <c r="Q17" s="178">
        <v>0</v>
      </c>
      <c r="R17" s="178"/>
      <c r="S17" s="178">
        <v>0</v>
      </c>
      <c r="T17" s="178">
        <v>0</v>
      </c>
      <c r="U17" s="178">
        <f>IncomeSummary[[#This Row],[ANNUAL HARVEST]]</f>
        <v>0</v>
      </c>
      <c r="V17" s="178"/>
      <c r="W17" s="178">
        <v>0</v>
      </c>
      <c r="X17" s="178">
        <v>0</v>
      </c>
      <c r="Y17" s="180">
        <f>SUM(WeeklyIncome[[#This Row],[TITHE]:[RENT]])</f>
        <v>1462.5</v>
      </c>
    </row>
    <row r="18" spans="1:25" hidden="1" x14ac:dyDescent="0.25">
      <c r="A18" s="177">
        <f t="shared" si="0"/>
        <v>44317</v>
      </c>
      <c r="B18" s="180">
        <f>IncomeSummary[[#This Row],[TITHE]]</f>
        <v>437</v>
      </c>
      <c r="C18" s="180">
        <f>IncomeSummary[[#This Row],[SYSTEMATIC OFFERING]]</f>
        <v>163</v>
      </c>
      <c r="D18" s="180">
        <f>IncomeSummary[[#This Row],[THANKS OFFERING]]</f>
        <v>30</v>
      </c>
      <c r="E18" s="180">
        <f>IncomeSummary[[#This Row],[LOOSE OFFERING]]</f>
        <v>50</v>
      </c>
      <c r="F18" s="180">
        <f>IncomeSummary[[#This Row],[SABBATH SCHOOL OFFERING]]</f>
        <v>125.5</v>
      </c>
      <c r="G18" s="180">
        <f>IncomeSummary[[#This Row],[WELFARE]]</f>
        <v>34</v>
      </c>
      <c r="H18" s="178">
        <v>0</v>
      </c>
      <c r="I18" s="178">
        <v>0</v>
      </c>
      <c r="J18" s="178">
        <v>0</v>
      </c>
      <c r="K18" s="178">
        <f>IncomeSummary[[#This Row],[ BIBLE SOCIETY HARVEST]]</f>
        <v>0</v>
      </c>
      <c r="L18" s="178">
        <v>0</v>
      </c>
      <c r="M18" s="178">
        <v>0</v>
      </c>
      <c r="N18" s="178">
        <v>0</v>
      </c>
      <c r="O18" s="178">
        <v>0</v>
      </c>
      <c r="P18" s="178">
        <v>0</v>
      </c>
      <c r="Q18" s="178">
        <v>0</v>
      </c>
      <c r="R18" s="178"/>
      <c r="S18" s="178">
        <v>0</v>
      </c>
      <c r="T18" s="178">
        <v>0</v>
      </c>
      <c r="U18" s="178">
        <f>IncomeSummary[[#This Row],[ANNUAL HARVEST]]</f>
        <v>0</v>
      </c>
      <c r="V18" s="178"/>
      <c r="W18" s="178">
        <v>0</v>
      </c>
      <c r="X18" s="178">
        <v>0</v>
      </c>
      <c r="Y18" s="180">
        <f>SUM(WeeklyIncome[[#This Row],[TITHE]:[RENT]])</f>
        <v>839.5</v>
      </c>
    </row>
    <row r="19" spans="1:25" hidden="1" x14ac:dyDescent="0.25">
      <c r="A19" s="177">
        <f t="shared" si="0"/>
        <v>44324</v>
      </c>
      <c r="B19" s="180">
        <f>IncomeSummary[[#This Row],[TITHE]]</f>
        <v>205</v>
      </c>
      <c r="C19" s="180">
        <f>IncomeSummary[[#This Row],[SYSTEMATIC OFFERING]]</f>
        <v>87</v>
      </c>
      <c r="D19" s="180">
        <f>IncomeSummary[[#This Row],[THANKS OFFERING]]</f>
        <v>20</v>
      </c>
      <c r="E19" s="180">
        <f>IncomeSummary[[#This Row],[LOOSE OFFERING]]</f>
        <v>53</v>
      </c>
      <c r="F19" s="180">
        <f>IncomeSummary[[#This Row],[SABBATH SCHOOL OFFERING]]</f>
        <v>265</v>
      </c>
      <c r="G19" s="180">
        <f>IncomeSummary[[#This Row],[WELFARE]]</f>
        <v>52</v>
      </c>
      <c r="H19" s="178">
        <v>0</v>
      </c>
      <c r="I19" s="178">
        <v>0</v>
      </c>
      <c r="J19" s="178">
        <v>0</v>
      </c>
      <c r="K19" s="178">
        <f>IncomeSummary[[#This Row],[ BIBLE SOCIETY HARVEST]]</f>
        <v>0</v>
      </c>
      <c r="L19" s="178">
        <v>0</v>
      </c>
      <c r="M19" s="178">
        <v>0</v>
      </c>
      <c r="N19" s="178">
        <v>0</v>
      </c>
      <c r="O19" s="178">
        <v>0</v>
      </c>
      <c r="P19" s="178">
        <v>0</v>
      </c>
      <c r="Q19" s="178">
        <v>0</v>
      </c>
      <c r="R19" s="178"/>
      <c r="S19" s="178">
        <v>0</v>
      </c>
      <c r="T19" s="178">
        <v>0</v>
      </c>
      <c r="U19" s="178">
        <f>IncomeSummary[[#This Row],[ANNUAL HARVEST]]</f>
        <v>0</v>
      </c>
      <c r="V19" s="178"/>
      <c r="W19" s="178">
        <v>0</v>
      </c>
      <c r="X19" s="178">
        <v>0</v>
      </c>
      <c r="Y19" s="180">
        <f>SUM(WeeklyIncome[[#This Row],[TITHE]:[RENT]])</f>
        <v>682</v>
      </c>
    </row>
    <row r="20" spans="1:25" hidden="1" x14ac:dyDescent="0.25">
      <c r="A20" s="177">
        <f t="shared" si="0"/>
        <v>44331</v>
      </c>
      <c r="B20" s="180">
        <f>IncomeSummary[[#This Row],[TITHE]]</f>
        <v>433</v>
      </c>
      <c r="C20" s="180">
        <f>IncomeSummary[[#This Row],[SYSTEMATIC OFFERING]]</f>
        <v>204</v>
      </c>
      <c r="D20" s="180">
        <f>IncomeSummary[[#This Row],[THANKS OFFERING]]</f>
        <v>10</v>
      </c>
      <c r="E20" s="180">
        <f>IncomeSummary[[#This Row],[LOOSE OFFERING]]</f>
        <v>40</v>
      </c>
      <c r="F20" s="180">
        <f>IncomeSummary[[#This Row],[SABBATH SCHOOL OFFERING]]</f>
        <v>85.7</v>
      </c>
      <c r="G20" s="180">
        <f>IncomeSummary[[#This Row],[WELFARE]]</f>
        <v>94</v>
      </c>
      <c r="H20" s="178">
        <v>0</v>
      </c>
      <c r="I20" s="178">
        <v>0</v>
      </c>
      <c r="J20" s="178">
        <v>0</v>
      </c>
      <c r="K20" s="178">
        <f>IncomeSummary[[#This Row],[ BIBLE SOCIETY HARVEST]]</f>
        <v>0</v>
      </c>
      <c r="L20" s="178">
        <v>0</v>
      </c>
      <c r="M20" s="178">
        <v>0</v>
      </c>
      <c r="N20" s="178">
        <v>0</v>
      </c>
      <c r="O20" s="178">
        <v>0</v>
      </c>
      <c r="P20" s="178">
        <v>0</v>
      </c>
      <c r="Q20" s="178">
        <v>0</v>
      </c>
      <c r="R20" s="178"/>
      <c r="S20" s="178">
        <v>0</v>
      </c>
      <c r="T20" s="178">
        <v>0</v>
      </c>
      <c r="U20" s="178">
        <f>IncomeSummary[[#This Row],[ANNUAL HARVEST]]</f>
        <v>0</v>
      </c>
      <c r="V20" s="178"/>
      <c r="W20" s="178">
        <v>0</v>
      </c>
      <c r="X20" s="178">
        <v>0</v>
      </c>
      <c r="Y20" s="180">
        <f>SUM(WeeklyIncome[[#This Row],[TITHE]:[RENT]])</f>
        <v>866.7</v>
      </c>
    </row>
    <row r="21" spans="1:25" hidden="1" x14ac:dyDescent="0.25">
      <c r="A21" s="177">
        <f t="shared" si="0"/>
        <v>44338</v>
      </c>
      <c r="B21" s="180">
        <f>IncomeSummary[[#This Row],[TITHE]]</f>
        <v>151</v>
      </c>
      <c r="C21" s="180">
        <f>IncomeSummary[[#This Row],[SYSTEMATIC OFFERING]]</f>
        <v>142</v>
      </c>
      <c r="D21" s="180">
        <f>IncomeSummary[[#This Row],[THANKS OFFERING]]</f>
        <v>0</v>
      </c>
      <c r="E21" s="180">
        <f>IncomeSummary[[#This Row],[LOOSE OFFERING]]</f>
        <v>40</v>
      </c>
      <c r="F21" s="180">
        <f>IncomeSummary[[#This Row],[SABBATH SCHOOL OFFERING]]</f>
        <v>91.5</v>
      </c>
      <c r="G21" s="180">
        <f>IncomeSummary[[#This Row],[WELFARE]]</f>
        <v>24</v>
      </c>
      <c r="H21" s="178">
        <v>0</v>
      </c>
      <c r="I21" s="178">
        <v>0</v>
      </c>
      <c r="J21" s="178">
        <v>0</v>
      </c>
      <c r="K21" s="178">
        <f>IncomeSummary[[#This Row],[ BIBLE SOCIETY HARVEST]]</f>
        <v>0</v>
      </c>
      <c r="L21" s="178">
        <v>100</v>
      </c>
      <c r="M21" s="178">
        <v>0</v>
      </c>
      <c r="N21" s="178">
        <v>0</v>
      </c>
      <c r="O21" s="178">
        <v>0</v>
      </c>
      <c r="P21" s="178">
        <v>0</v>
      </c>
      <c r="Q21" s="178">
        <v>0</v>
      </c>
      <c r="R21" s="178"/>
      <c r="S21" s="178">
        <v>0</v>
      </c>
      <c r="T21" s="178">
        <v>0</v>
      </c>
      <c r="U21" s="178">
        <f>IncomeSummary[[#This Row],[ANNUAL HARVEST]]</f>
        <v>0</v>
      </c>
      <c r="V21" s="178"/>
      <c r="W21" s="178">
        <v>0</v>
      </c>
      <c r="X21" s="178">
        <v>0</v>
      </c>
      <c r="Y21" s="180">
        <f>SUM(WeeklyIncome[[#This Row],[TITHE]:[RENT]])</f>
        <v>548.5</v>
      </c>
    </row>
    <row r="22" spans="1:25" hidden="1" x14ac:dyDescent="0.25">
      <c r="A22" s="177">
        <f t="shared" si="0"/>
        <v>44345</v>
      </c>
      <c r="B22" s="180">
        <f>IncomeSummary[[#This Row],[TITHE]]</f>
        <v>340</v>
      </c>
      <c r="C22" s="180">
        <f>IncomeSummary[[#This Row],[SYSTEMATIC OFFERING]]</f>
        <v>162</v>
      </c>
      <c r="D22" s="180">
        <f>IncomeSummary[[#This Row],[THANKS OFFERING]]</f>
        <v>50</v>
      </c>
      <c r="E22" s="180">
        <f>IncomeSummary[[#This Row],[LOOSE OFFERING]]</f>
        <v>38</v>
      </c>
      <c r="F22" s="180">
        <f>IncomeSummary[[#This Row],[SABBATH SCHOOL OFFERING]]</f>
        <v>127.5</v>
      </c>
      <c r="G22" s="180">
        <f>IncomeSummary[[#This Row],[WELFARE]]</f>
        <v>52</v>
      </c>
      <c r="H22" s="178">
        <v>1300</v>
      </c>
      <c r="I22" s="178">
        <v>0</v>
      </c>
      <c r="J22" s="178">
        <v>0</v>
      </c>
      <c r="K22" s="178">
        <f>IncomeSummary[[#This Row],[ BIBLE SOCIETY HARVEST]]</f>
        <v>0</v>
      </c>
      <c r="L22" s="178">
        <v>0</v>
      </c>
      <c r="M22" s="178">
        <v>0</v>
      </c>
      <c r="N22" s="178">
        <v>0</v>
      </c>
      <c r="O22" s="178">
        <v>0</v>
      </c>
      <c r="P22" s="178">
        <v>0</v>
      </c>
      <c r="Q22" s="178">
        <v>0</v>
      </c>
      <c r="R22" s="178"/>
      <c r="S22" s="178">
        <v>0</v>
      </c>
      <c r="T22" s="178">
        <v>0</v>
      </c>
      <c r="U22" s="178">
        <f>IncomeSummary[[#This Row],[ANNUAL HARVEST]]</f>
        <v>0</v>
      </c>
      <c r="V22" s="178"/>
      <c r="W22" s="178">
        <v>0</v>
      </c>
      <c r="X22" s="178">
        <v>0</v>
      </c>
      <c r="Y22" s="180">
        <f>SUM(WeeklyIncome[[#This Row],[TITHE]:[RENT]])</f>
        <v>2069.5</v>
      </c>
    </row>
    <row r="23" spans="1:25" hidden="1" x14ac:dyDescent="0.25">
      <c r="A23" s="177">
        <f t="shared" si="0"/>
        <v>44352</v>
      </c>
      <c r="B23" s="180">
        <f>IncomeSummary[[#This Row],[TITHE]]</f>
        <v>213</v>
      </c>
      <c r="C23" s="180">
        <f>IncomeSummary[[#This Row],[SYSTEMATIC OFFERING]]</f>
        <v>184</v>
      </c>
      <c r="D23" s="180">
        <f>IncomeSummary[[#This Row],[THANKS OFFERING]]</f>
        <v>0</v>
      </c>
      <c r="E23" s="180">
        <f>IncomeSummary[[#This Row],[LOOSE OFFERING]]</f>
        <v>300</v>
      </c>
      <c r="F23" s="180">
        <f>IncomeSummary[[#This Row],[SABBATH SCHOOL OFFERING]]</f>
        <v>490</v>
      </c>
      <c r="G23" s="180">
        <f>IncomeSummary[[#This Row],[WELFARE]]</f>
        <v>0</v>
      </c>
      <c r="H23" s="178">
        <v>3066</v>
      </c>
      <c r="I23" s="178">
        <v>0</v>
      </c>
      <c r="J23" s="178">
        <v>0</v>
      </c>
      <c r="K23" s="178">
        <f>IncomeSummary[[#This Row],[ BIBLE SOCIETY HARVEST]]</f>
        <v>0</v>
      </c>
      <c r="L23" s="178">
        <v>2000</v>
      </c>
      <c r="M23" s="178">
        <v>0</v>
      </c>
      <c r="N23" s="178">
        <v>0</v>
      </c>
      <c r="O23" s="178">
        <v>0</v>
      </c>
      <c r="P23" s="178">
        <v>0</v>
      </c>
      <c r="Q23" s="178">
        <v>0</v>
      </c>
      <c r="R23" s="178"/>
      <c r="S23" s="178">
        <v>0</v>
      </c>
      <c r="T23" s="178">
        <v>0</v>
      </c>
      <c r="U23" s="178">
        <f>IncomeSummary[[#This Row],[ANNUAL HARVEST]]</f>
        <v>0</v>
      </c>
      <c r="V23" s="178"/>
      <c r="W23" s="178">
        <v>0</v>
      </c>
      <c r="X23" s="178">
        <v>0</v>
      </c>
      <c r="Y23" s="180">
        <f>SUM(WeeklyIncome[[#This Row],[TITHE]:[RENT]])</f>
        <v>6253</v>
      </c>
    </row>
    <row r="24" spans="1:25" hidden="1" x14ac:dyDescent="0.25">
      <c r="A24" s="177">
        <f t="shared" si="0"/>
        <v>44359</v>
      </c>
      <c r="B24" s="180">
        <f>IncomeSummary[[#This Row],[TITHE]]</f>
        <v>193</v>
      </c>
      <c r="C24" s="180">
        <f>IncomeSummary[[#This Row],[SYSTEMATIC OFFERING]]</f>
        <v>95</v>
      </c>
      <c r="D24" s="180">
        <f>IncomeSummary[[#This Row],[THANKS OFFERING]]</f>
        <v>60</v>
      </c>
      <c r="E24" s="180">
        <f>IncomeSummary[[#This Row],[LOOSE OFFERING]]</f>
        <v>54</v>
      </c>
      <c r="F24" s="180">
        <f>IncomeSummary[[#This Row],[SABBATH SCHOOL OFFERING]]</f>
        <v>172</v>
      </c>
      <c r="G24" s="180">
        <f>IncomeSummary[[#This Row],[WELFARE]]</f>
        <v>30</v>
      </c>
      <c r="H24" s="178">
        <v>0</v>
      </c>
      <c r="I24" s="178">
        <v>0</v>
      </c>
      <c r="J24" s="178">
        <v>0</v>
      </c>
      <c r="K24" s="178">
        <f>IncomeSummary[[#This Row],[ BIBLE SOCIETY HARVEST]]</f>
        <v>0</v>
      </c>
      <c r="L24" s="178">
        <v>0</v>
      </c>
      <c r="M24" s="178">
        <v>0</v>
      </c>
      <c r="N24" s="178">
        <v>0</v>
      </c>
      <c r="O24" s="178">
        <v>0</v>
      </c>
      <c r="P24" s="178">
        <v>0</v>
      </c>
      <c r="Q24" s="178">
        <v>0</v>
      </c>
      <c r="R24" s="178"/>
      <c r="S24" s="178">
        <v>0</v>
      </c>
      <c r="T24" s="178">
        <v>0</v>
      </c>
      <c r="U24" s="178">
        <f>IncomeSummary[[#This Row],[ANNUAL HARVEST]]</f>
        <v>0</v>
      </c>
      <c r="V24" s="178"/>
      <c r="W24" s="178">
        <v>0</v>
      </c>
      <c r="X24" s="178">
        <v>0</v>
      </c>
      <c r="Y24" s="180">
        <f>SUM(WeeklyIncome[[#This Row],[TITHE]:[RENT]])</f>
        <v>604</v>
      </c>
    </row>
    <row r="25" spans="1:25" hidden="1" x14ac:dyDescent="0.25">
      <c r="A25" s="177">
        <f t="shared" si="0"/>
        <v>44366</v>
      </c>
      <c r="B25" s="180">
        <f>IncomeSummary[[#This Row],[TITHE]]</f>
        <v>326</v>
      </c>
      <c r="C25" s="180">
        <f>IncomeSummary[[#This Row],[SYSTEMATIC OFFERING]]</f>
        <v>175</v>
      </c>
      <c r="D25" s="180">
        <f>IncomeSummary[[#This Row],[THANKS OFFERING]]</f>
        <v>25</v>
      </c>
      <c r="E25" s="180">
        <f>IncomeSummary[[#This Row],[LOOSE OFFERING]]</f>
        <v>105</v>
      </c>
      <c r="F25" s="180">
        <f>IncomeSummary[[#This Row],[SABBATH SCHOOL OFFERING]]</f>
        <v>129.9</v>
      </c>
      <c r="G25" s="180">
        <f>IncomeSummary[[#This Row],[WELFARE]]</f>
        <v>44</v>
      </c>
      <c r="H25" s="178">
        <v>0</v>
      </c>
      <c r="I25" s="178">
        <v>400</v>
      </c>
      <c r="J25" s="178">
        <v>0</v>
      </c>
      <c r="K25" s="178">
        <f>IncomeSummary[[#This Row],[ BIBLE SOCIETY HARVEST]]</f>
        <v>0</v>
      </c>
      <c r="L25" s="178">
        <v>0</v>
      </c>
      <c r="M25" s="178">
        <v>0</v>
      </c>
      <c r="N25" s="178">
        <v>0</v>
      </c>
      <c r="O25" s="178">
        <v>0</v>
      </c>
      <c r="P25" s="178">
        <v>0</v>
      </c>
      <c r="Q25" s="178">
        <v>0</v>
      </c>
      <c r="R25" s="178"/>
      <c r="S25" s="178">
        <v>0</v>
      </c>
      <c r="T25" s="178">
        <v>0</v>
      </c>
      <c r="U25" s="178">
        <f>IncomeSummary[[#This Row],[ANNUAL HARVEST]]</f>
        <v>0</v>
      </c>
      <c r="V25" s="178"/>
      <c r="W25" s="178">
        <v>0</v>
      </c>
      <c r="X25" s="178">
        <v>0</v>
      </c>
      <c r="Y25" s="180">
        <f>SUM(WeeklyIncome[[#This Row],[TITHE]:[RENT]])</f>
        <v>1204.9000000000001</v>
      </c>
    </row>
    <row r="26" spans="1:25" hidden="1" x14ac:dyDescent="0.25">
      <c r="A26" s="177">
        <f t="shared" si="0"/>
        <v>44373</v>
      </c>
      <c r="B26" s="180">
        <f>IncomeSummary[[#This Row],[TITHE]]</f>
        <v>209</v>
      </c>
      <c r="C26" s="180">
        <f>IncomeSummary[[#This Row],[SYSTEMATIC OFFERING]]</f>
        <v>139</v>
      </c>
      <c r="D26" s="180">
        <f>IncomeSummary[[#This Row],[THANKS OFFERING]]</f>
        <v>20</v>
      </c>
      <c r="E26" s="180">
        <f>IncomeSummary[[#This Row],[LOOSE OFFERING]]</f>
        <v>80</v>
      </c>
      <c r="F26" s="180">
        <f>IncomeSummary[[#This Row],[SABBATH SCHOOL OFFERING]]</f>
        <v>233</v>
      </c>
      <c r="G26" s="180">
        <f>IncomeSummary[[#This Row],[WELFARE]]</f>
        <v>38</v>
      </c>
      <c r="H26" s="178">
        <v>0</v>
      </c>
      <c r="I26" s="178">
        <v>0</v>
      </c>
      <c r="J26" s="178">
        <v>0</v>
      </c>
      <c r="K26" s="178">
        <f>IncomeSummary[[#This Row],[ BIBLE SOCIETY HARVEST]]</f>
        <v>0</v>
      </c>
      <c r="L26" s="178">
        <v>0</v>
      </c>
      <c r="M26" s="178">
        <v>0</v>
      </c>
      <c r="N26" s="178">
        <v>0</v>
      </c>
      <c r="O26" s="178">
        <v>0</v>
      </c>
      <c r="P26" s="178">
        <v>0</v>
      </c>
      <c r="Q26" s="178">
        <v>0</v>
      </c>
      <c r="R26" s="178"/>
      <c r="S26" s="178">
        <v>0</v>
      </c>
      <c r="T26" s="178">
        <v>0</v>
      </c>
      <c r="U26" s="178">
        <f>IncomeSummary[[#This Row],[ANNUAL HARVEST]]</f>
        <v>0</v>
      </c>
      <c r="V26" s="178"/>
      <c r="W26" s="178">
        <v>0</v>
      </c>
      <c r="X26" s="178">
        <v>0</v>
      </c>
      <c r="Y26" s="180">
        <f>SUM(WeeklyIncome[[#This Row],[TITHE]:[RENT]])</f>
        <v>719</v>
      </c>
    </row>
    <row r="27" spans="1:25" hidden="1" x14ac:dyDescent="0.25">
      <c r="A27" s="177">
        <f t="shared" si="0"/>
        <v>44380</v>
      </c>
      <c r="B27" s="180">
        <f>IncomeSummary[[#This Row],[TITHE]]</f>
        <v>174</v>
      </c>
      <c r="C27" s="180">
        <f>IncomeSummary[[#This Row],[SYSTEMATIC OFFERING]]</f>
        <v>204</v>
      </c>
      <c r="D27" s="180">
        <f>IncomeSummary[[#This Row],[THANKS OFFERING]]</f>
        <v>30</v>
      </c>
      <c r="E27" s="180">
        <f>IncomeSummary[[#This Row],[LOOSE OFFERING]]</f>
        <v>50</v>
      </c>
      <c r="F27" s="180">
        <f>IncomeSummary[[#This Row],[SABBATH SCHOOL OFFERING]]</f>
        <v>222</v>
      </c>
      <c r="G27" s="180">
        <f>IncomeSummary[[#This Row],[WELFARE]]</f>
        <v>62</v>
      </c>
      <c r="H27" s="178">
        <v>0</v>
      </c>
      <c r="I27" s="178">
        <v>0</v>
      </c>
      <c r="J27" s="178">
        <v>0</v>
      </c>
      <c r="K27" s="178">
        <f>IncomeSummary[[#This Row],[ BIBLE SOCIETY HARVEST]]</f>
        <v>0</v>
      </c>
      <c r="L27" s="178">
        <v>0</v>
      </c>
      <c r="M27" s="178">
        <v>0</v>
      </c>
      <c r="N27" s="178">
        <v>0</v>
      </c>
      <c r="O27" s="178">
        <v>0</v>
      </c>
      <c r="P27" s="178">
        <v>0</v>
      </c>
      <c r="Q27" s="178">
        <v>0</v>
      </c>
      <c r="R27" s="178"/>
      <c r="S27" s="178">
        <v>0</v>
      </c>
      <c r="T27" s="178">
        <v>0</v>
      </c>
      <c r="U27" s="178">
        <f>IncomeSummary[[#This Row],[ANNUAL HARVEST]]</f>
        <v>0</v>
      </c>
      <c r="V27" s="178"/>
      <c r="W27" s="178">
        <v>0</v>
      </c>
      <c r="X27" s="178">
        <v>0</v>
      </c>
      <c r="Y27" s="180">
        <f>SUM(WeeklyIncome[[#This Row],[TITHE]:[RENT]])</f>
        <v>742</v>
      </c>
    </row>
    <row r="28" spans="1:25" hidden="1" x14ac:dyDescent="0.25">
      <c r="A28" s="177">
        <f t="shared" si="0"/>
        <v>44387</v>
      </c>
      <c r="B28" s="180">
        <f>IncomeSummary[[#This Row],[TITHE]]</f>
        <v>623</v>
      </c>
      <c r="C28" s="180">
        <f>IncomeSummary[[#This Row],[SYSTEMATIC OFFERING]]</f>
        <v>239</v>
      </c>
      <c r="D28" s="180">
        <f>IncomeSummary[[#This Row],[THANKS OFFERING]]</f>
        <v>55</v>
      </c>
      <c r="E28" s="180">
        <f>IncomeSummary[[#This Row],[LOOSE OFFERING]]</f>
        <v>41</v>
      </c>
      <c r="F28" s="180">
        <f>IncomeSummary[[#This Row],[SABBATH SCHOOL OFFERING]]</f>
        <v>114.8</v>
      </c>
      <c r="G28" s="180">
        <f>IncomeSummary[[#This Row],[WELFARE]]</f>
        <v>204</v>
      </c>
      <c r="H28" s="178">
        <v>0</v>
      </c>
      <c r="I28" s="178">
        <v>0</v>
      </c>
      <c r="J28" s="178">
        <v>0</v>
      </c>
      <c r="K28" s="178">
        <f>IncomeSummary[[#This Row],[ BIBLE SOCIETY HARVEST]]</f>
        <v>0</v>
      </c>
      <c r="L28" s="178">
        <v>0</v>
      </c>
      <c r="M28" s="178">
        <v>720</v>
      </c>
      <c r="N28" s="178">
        <v>0</v>
      </c>
      <c r="O28" s="178">
        <v>0</v>
      </c>
      <c r="P28" s="178">
        <v>0</v>
      </c>
      <c r="Q28" s="178">
        <v>0</v>
      </c>
      <c r="R28" s="178"/>
      <c r="S28" s="178">
        <v>0</v>
      </c>
      <c r="T28" s="178">
        <v>0</v>
      </c>
      <c r="U28" s="178">
        <f>IncomeSummary[[#This Row],[ANNUAL HARVEST]]</f>
        <v>0</v>
      </c>
      <c r="V28" s="178"/>
      <c r="W28" s="178">
        <v>0</v>
      </c>
      <c r="X28" s="178">
        <v>0</v>
      </c>
      <c r="Y28" s="180">
        <f>SUM(WeeklyIncome[[#This Row],[TITHE]:[RENT]])</f>
        <v>1996.8</v>
      </c>
    </row>
    <row r="29" spans="1:25" hidden="1" x14ac:dyDescent="0.25">
      <c r="A29" s="177">
        <f t="shared" si="0"/>
        <v>44394</v>
      </c>
      <c r="B29" s="180">
        <f>IncomeSummary[[#This Row],[TITHE]]</f>
        <v>309</v>
      </c>
      <c r="C29" s="180">
        <f>IncomeSummary[[#This Row],[SYSTEMATIC OFFERING]]</f>
        <v>179</v>
      </c>
      <c r="D29" s="180">
        <f>IncomeSummary[[#This Row],[THANKS OFFERING]]</f>
        <v>10</v>
      </c>
      <c r="E29" s="180">
        <f>IncomeSummary[[#This Row],[LOOSE OFFERING]]</f>
        <v>103</v>
      </c>
      <c r="F29" s="180">
        <f>IncomeSummary[[#This Row],[SABBATH SCHOOL OFFERING]]</f>
        <v>307</v>
      </c>
      <c r="G29" s="180">
        <f>IncomeSummary[[#This Row],[WELFARE]]</f>
        <v>90</v>
      </c>
      <c r="H29" s="178">
        <v>0</v>
      </c>
      <c r="I29" s="178">
        <v>0</v>
      </c>
      <c r="J29" s="178">
        <v>0</v>
      </c>
      <c r="K29" s="178">
        <f>IncomeSummary[[#This Row],[ BIBLE SOCIETY HARVEST]]</f>
        <v>0</v>
      </c>
      <c r="L29" s="178">
        <v>0</v>
      </c>
      <c r="M29" s="178">
        <v>632</v>
      </c>
      <c r="N29" s="178">
        <v>0</v>
      </c>
      <c r="O29" s="178">
        <v>130</v>
      </c>
      <c r="P29" s="178">
        <v>0</v>
      </c>
      <c r="Q29" s="178">
        <v>0</v>
      </c>
      <c r="R29" s="178"/>
      <c r="S29" s="178">
        <v>0</v>
      </c>
      <c r="T29" s="178">
        <v>0</v>
      </c>
      <c r="U29" s="178">
        <f>IncomeSummary[[#This Row],[ANNUAL HARVEST]]</f>
        <v>0</v>
      </c>
      <c r="V29" s="178"/>
      <c r="W29" s="178">
        <v>0</v>
      </c>
      <c r="X29" s="178">
        <v>0</v>
      </c>
      <c r="Y29" s="180">
        <f>SUM(WeeklyIncome[[#This Row],[TITHE]:[RENT]])</f>
        <v>1760</v>
      </c>
    </row>
    <row r="30" spans="1:25" hidden="1" x14ac:dyDescent="0.25">
      <c r="A30" s="177">
        <f t="shared" si="0"/>
        <v>44401</v>
      </c>
      <c r="B30" s="180">
        <f>IncomeSummary[[#This Row],[TITHE]]</f>
        <v>99</v>
      </c>
      <c r="C30" s="180">
        <f>IncomeSummary[[#This Row],[SYSTEMATIC OFFERING]]</f>
        <v>77</v>
      </c>
      <c r="D30" s="180">
        <f>IncomeSummary[[#This Row],[THANKS OFFERING]]</f>
        <v>55</v>
      </c>
      <c r="E30" s="180">
        <f>IncomeSummary[[#This Row],[LOOSE OFFERING]]</f>
        <v>45</v>
      </c>
      <c r="F30" s="180">
        <f>IncomeSummary[[#This Row],[SABBATH SCHOOL OFFERING]]</f>
        <v>106</v>
      </c>
      <c r="G30" s="180">
        <f>IncomeSummary[[#This Row],[WELFARE]]</f>
        <v>30</v>
      </c>
      <c r="H30" s="178">
        <v>0</v>
      </c>
      <c r="I30" s="178">
        <v>0</v>
      </c>
      <c r="J30" s="178">
        <v>0</v>
      </c>
      <c r="K30" s="178">
        <f>IncomeSummary[[#This Row],[ BIBLE SOCIETY HARVEST]]</f>
        <v>0</v>
      </c>
      <c r="L30" s="178">
        <v>0</v>
      </c>
      <c r="M30" s="178">
        <v>0</v>
      </c>
      <c r="N30" s="178">
        <v>0</v>
      </c>
      <c r="O30" s="178">
        <v>0</v>
      </c>
      <c r="P30" s="178">
        <v>0</v>
      </c>
      <c r="Q30" s="178">
        <v>0</v>
      </c>
      <c r="R30" s="178"/>
      <c r="S30" s="178">
        <v>0</v>
      </c>
      <c r="T30" s="178">
        <v>0</v>
      </c>
      <c r="U30" s="178">
        <f>IncomeSummary[[#This Row],[ANNUAL HARVEST]]</f>
        <v>0</v>
      </c>
      <c r="V30" s="178"/>
      <c r="W30" s="178">
        <v>0</v>
      </c>
      <c r="X30" s="178">
        <v>0</v>
      </c>
      <c r="Y30" s="180">
        <f>SUM(WeeklyIncome[[#This Row],[TITHE]:[RENT]])</f>
        <v>412</v>
      </c>
    </row>
    <row r="31" spans="1:25" hidden="1" x14ac:dyDescent="0.25">
      <c r="A31" s="177">
        <f t="shared" si="0"/>
        <v>44408</v>
      </c>
      <c r="B31" s="180">
        <f>IncomeSummary[[#This Row],[TITHE]]</f>
        <v>557</v>
      </c>
      <c r="C31" s="180">
        <f>IncomeSummary[[#This Row],[SYSTEMATIC OFFERING]]</f>
        <v>184</v>
      </c>
      <c r="D31" s="180">
        <f>IncomeSummary[[#This Row],[THANKS OFFERING]]</f>
        <v>70</v>
      </c>
      <c r="E31" s="180">
        <f>IncomeSummary[[#This Row],[LOOSE OFFERING]]</f>
        <v>66</v>
      </c>
      <c r="F31" s="180">
        <f>IncomeSummary[[#This Row],[SABBATH SCHOOL OFFERING]]</f>
        <v>124.6</v>
      </c>
      <c r="G31" s="180">
        <f>IncomeSummary[[#This Row],[WELFARE]]</f>
        <v>148</v>
      </c>
      <c r="H31" s="178">
        <v>0</v>
      </c>
      <c r="I31" s="178">
        <v>0</v>
      </c>
      <c r="J31" s="178">
        <v>0</v>
      </c>
      <c r="K31" s="178">
        <f>IncomeSummary[[#This Row],[ BIBLE SOCIETY HARVEST]]</f>
        <v>0</v>
      </c>
      <c r="L31" s="178">
        <v>0</v>
      </c>
      <c r="M31" s="178">
        <v>200</v>
      </c>
      <c r="N31" s="178">
        <v>0</v>
      </c>
      <c r="O31" s="178">
        <v>0</v>
      </c>
      <c r="P31" s="178">
        <v>0</v>
      </c>
      <c r="Q31" s="178">
        <v>0</v>
      </c>
      <c r="R31" s="178"/>
      <c r="S31" s="178">
        <v>0</v>
      </c>
      <c r="T31" s="178">
        <v>0</v>
      </c>
      <c r="U31" s="178">
        <f>IncomeSummary[[#This Row],[ANNUAL HARVEST]]</f>
        <v>0</v>
      </c>
      <c r="V31" s="178"/>
      <c r="W31" s="178">
        <v>0</v>
      </c>
      <c r="X31" s="178">
        <v>0</v>
      </c>
      <c r="Y31" s="180">
        <f>SUM(WeeklyIncome[[#This Row],[TITHE]:[RENT]])</f>
        <v>1349.6</v>
      </c>
    </row>
    <row r="32" spans="1:25" hidden="1" x14ac:dyDescent="0.25">
      <c r="A32" s="177">
        <f t="shared" si="0"/>
        <v>44415</v>
      </c>
      <c r="B32" s="180">
        <f>IncomeSummary[[#This Row],[TITHE]]</f>
        <v>468</v>
      </c>
      <c r="C32" s="180">
        <f>IncomeSummary[[#This Row],[SYSTEMATIC OFFERING]]</f>
        <v>181</v>
      </c>
      <c r="D32" s="180">
        <f>IncomeSummary[[#This Row],[THANKS OFFERING]]</f>
        <v>31</v>
      </c>
      <c r="E32" s="180">
        <f>IncomeSummary[[#This Row],[LOOSE OFFERING]]</f>
        <v>30</v>
      </c>
      <c r="F32" s="180">
        <f>IncomeSummary[[#This Row],[SABBATH SCHOOL OFFERING]]</f>
        <v>82</v>
      </c>
      <c r="G32" s="180">
        <f>IncomeSummary[[#This Row],[WELFARE]]</f>
        <v>418</v>
      </c>
      <c r="H32" s="178">
        <v>0</v>
      </c>
      <c r="I32" s="178">
        <v>0</v>
      </c>
      <c r="J32" s="178">
        <v>0</v>
      </c>
      <c r="K32" s="178">
        <f>IncomeSummary[[#This Row],[ BIBLE SOCIETY HARVEST]]</f>
        <v>0</v>
      </c>
      <c r="L32" s="178">
        <v>0</v>
      </c>
      <c r="M32" s="178">
        <v>0</v>
      </c>
      <c r="N32" s="178">
        <v>0</v>
      </c>
      <c r="O32" s="178">
        <v>0</v>
      </c>
      <c r="P32" s="178">
        <v>0</v>
      </c>
      <c r="Q32" s="178">
        <v>0</v>
      </c>
      <c r="R32" s="178"/>
      <c r="S32" s="178">
        <v>0</v>
      </c>
      <c r="T32" s="178">
        <v>0</v>
      </c>
      <c r="U32" s="178">
        <f>IncomeSummary[[#This Row],[ANNUAL HARVEST]]</f>
        <v>0</v>
      </c>
      <c r="V32" s="178"/>
      <c r="W32" s="178">
        <v>0</v>
      </c>
      <c r="X32" s="178">
        <v>0</v>
      </c>
      <c r="Y32" s="180">
        <f>SUM(WeeklyIncome[[#This Row],[TITHE]:[RENT]])</f>
        <v>1210</v>
      </c>
    </row>
    <row r="33" spans="1:25" hidden="1" x14ac:dyDescent="0.25">
      <c r="A33" s="177">
        <f t="shared" si="0"/>
        <v>44422</v>
      </c>
      <c r="B33" s="180">
        <f>IncomeSummary[[#This Row],[TITHE]]</f>
        <v>307</v>
      </c>
      <c r="C33" s="180">
        <f>IncomeSummary[[#This Row],[SYSTEMATIC OFFERING]]</f>
        <v>242</v>
      </c>
      <c r="D33" s="180">
        <f>IncomeSummary[[#This Row],[THANKS OFFERING]]</f>
        <v>22</v>
      </c>
      <c r="E33" s="180">
        <f>IncomeSummary[[#This Row],[LOOSE OFFERING]]</f>
        <v>19</v>
      </c>
      <c r="F33" s="180">
        <f>IncomeSummary[[#This Row],[SABBATH SCHOOL OFFERING]]</f>
        <v>135</v>
      </c>
      <c r="G33" s="180">
        <f>IncomeSummary[[#This Row],[WELFARE]]</f>
        <v>124</v>
      </c>
      <c r="H33" s="178">
        <v>0</v>
      </c>
      <c r="I33" s="178">
        <v>0</v>
      </c>
      <c r="J33" s="178">
        <v>0</v>
      </c>
      <c r="K33" s="178">
        <f>IncomeSummary[[#This Row],[ BIBLE SOCIETY HARVEST]]</f>
        <v>0</v>
      </c>
      <c r="L33" s="178">
        <v>0</v>
      </c>
      <c r="M33" s="178">
        <v>0</v>
      </c>
      <c r="N33" s="178">
        <v>0</v>
      </c>
      <c r="O33" s="178">
        <v>0</v>
      </c>
      <c r="P33" s="178">
        <v>0</v>
      </c>
      <c r="Q33" s="178">
        <v>0</v>
      </c>
      <c r="R33" s="178"/>
      <c r="S33" s="178">
        <v>0</v>
      </c>
      <c r="T33" s="178">
        <v>0</v>
      </c>
      <c r="U33" s="178">
        <f>IncomeSummary[[#This Row],[ANNUAL HARVEST]]</f>
        <v>0</v>
      </c>
      <c r="V33" s="178"/>
      <c r="W33" s="178">
        <v>0</v>
      </c>
      <c r="X33" s="178">
        <v>0</v>
      </c>
      <c r="Y33" s="180">
        <f>SUM(WeeklyIncome[[#This Row],[TITHE]:[RENT]])</f>
        <v>849</v>
      </c>
    </row>
    <row r="34" spans="1:25" hidden="1" x14ac:dyDescent="0.25">
      <c r="A34" s="177">
        <f t="shared" si="0"/>
        <v>44429</v>
      </c>
      <c r="B34" s="180">
        <f>IncomeSummary[[#This Row],[TITHE]]</f>
        <v>453</v>
      </c>
      <c r="C34" s="180">
        <f>IncomeSummary[[#This Row],[SYSTEMATIC OFFERING]]</f>
        <v>140</v>
      </c>
      <c r="D34" s="180">
        <f>IncomeSummary[[#This Row],[THANKS OFFERING]]</f>
        <v>10</v>
      </c>
      <c r="E34" s="180">
        <f>IncomeSummary[[#This Row],[LOOSE OFFERING]]</f>
        <v>30</v>
      </c>
      <c r="F34" s="180">
        <f>IncomeSummary[[#This Row],[SABBATH SCHOOL OFFERING]]</f>
        <v>296</v>
      </c>
      <c r="G34" s="180">
        <f>IncomeSummary[[#This Row],[WELFARE]]</f>
        <v>40</v>
      </c>
      <c r="H34" s="178">
        <v>0</v>
      </c>
      <c r="I34" s="178">
        <v>0</v>
      </c>
      <c r="J34" s="178">
        <v>0</v>
      </c>
      <c r="K34" s="178">
        <f>IncomeSummary[[#This Row],[ BIBLE SOCIETY HARVEST]]</f>
        <v>0</v>
      </c>
      <c r="L34" s="178">
        <v>0</v>
      </c>
      <c r="M34" s="178">
        <v>0</v>
      </c>
      <c r="N34" s="178">
        <v>0</v>
      </c>
      <c r="O34" s="178">
        <v>0</v>
      </c>
      <c r="P34" s="178">
        <v>0</v>
      </c>
      <c r="Q34" s="178">
        <v>0</v>
      </c>
      <c r="R34" s="178"/>
      <c r="S34" s="178">
        <v>0</v>
      </c>
      <c r="T34" s="178">
        <v>0</v>
      </c>
      <c r="U34" s="178">
        <f>IncomeSummary[[#This Row],[ANNUAL HARVEST]]</f>
        <v>0</v>
      </c>
      <c r="V34" s="178"/>
      <c r="W34" s="178">
        <v>0</v>
      </c>
      <c r="X34" s="178">
        <v>0</v>
      </c>
      <c r="Y34" s="180">
        <f>SUM(WeeklyIncome[[#This Row],[TITHE]:[RENT]])</f>
        <v>969</v>
      </c>
    </row>
    <row r="35" spans="1:25" hidden="1" x14ac:dyDescent="0.25">
      <c r="A35" s="177">
        <f t="shared" si="0"/>
        <v>44436</v>
      </c>
      <c r="B35" s="180">
        <f>IncomeSummary[[#This Row],[TITHE]]</f>
        <v>257</v>
      </c>
      <c r="C35" s="180">
        <f>IncomeSummary[[#This Row],[SYSTEMATIC OFFERING]]</f>
        <v>184</v>
      </c>
      <c r="D35" s="180">
        <f>IncomeSummary[[#This Row],[THANKS OFFERING]]</f>
        <v>0</v>
      </c>
      <c r="E35" s="180">
        <f>IncomeSummary[[#This Row],[LOOSE OFFERING]]</f>
        <v>0</v>
      </c>
      <c r="F35" s="180">
        <f>IncomeSummary[[#This Row],[SABBATH SCHOOL OFFERING]]</f>
        <v>0</v>
      </c>
      <c r="G35" s="180">
        <f>IncomeSummary[[#This Row],[WELFARE]]</f>
        <v>10</v>
      </c>
      <c r="H35" s="178">
        <v>0</v>
      </c>
      <c r="I35" s="178">
        <v>0</v>
      </c>
      <c r="J35" s="178">
        <v>0</v>
      </c>
      <c r="K35" s="178">
        <f>IncomeSummary[[#This Row],[ BIBLE SOCIETY HARVEST]]</f>
        <v>0</v>
      </c>
      <c r="L35" s="178">
        <v>250</v>
      </c>
      <c r="M35" s="178">
        <v>0</v>
      </c>
      <c r="N35" s="178">
        <v>0</v>
      </c>
      <c r="O35" s="178">
        <v>0</v>
      </c>
      <c r="P35" s="178">
        <v>0</v>
      </c>
      <c r="Q35" s="178">
        <v>0</v>
      </c>
      <c r="R35" s="178"/>
      <c r="S35" s="178">
        <v>0</v>
      </c>
      <c r="T35" s="178">
        <v>0</v>
      </c>
      <c r="U35" s="178">
        <f>IncomeSummary[[#This Row],[ANNUAL HARVEST]]</f>
        <v>0</v>
      </c>
      <c r="V35" s="178"/>
      <c r="W35" s="178">
        <v>0</v>
      </c>
      <c r="X35" s="178">
        <v>0</v>
      </c>
      <c r="Y35" s="180">
        <f>SUM(WeeklyIncome[[#This Row],[TITHE]:[RENT]])</f>
        <v>701</v>
      </c>
    </row>
    <row r="36" spans="1:25" hidden="1" x14ac:dyDescent="0.25">
      <c r="A36" s="177">
        <f t="shared" si="0"/>
        <v>44443</v>
      </c>
      <c r="B36" s="180">
        <f>IncomeSummary[[#This Row],[TITHE]]</f>
        <v>143</v>
      </c>
      <c r="C36" s="180">
        <f>IncomeSummary[[#This Row],[SYSTEMATIC OFFERING]]</f>
        <v>143</v>
      </c>
      <c r="D36" s="180">
        <f>IncomeSummary[[#This Row],[THANKS OFFERING]]</f>
        <v>20</v>
      </c>
      <c r="E36" s="180">
        <f>IncomeSummary[[#This Row],[LOOSE OFFERING]]</f>
        <v>70</v>
      </c>
      <c r="F36" s="180">
        <f>IncomeSummary[[#This Row],[SABBATH SCHOOL OFFERING]]</f>
        <v>124</v>
      </c>
      <c r="G36" s="180">
        <f>IncomeSummary[[#This Row],[WELFARE]]</f>
        <v>72</v>
      </c>
      <c r="H36" s="178">
        <v>0</v>
      </c>
      <c r="I36" s="178">
        <v>0</v>
      </c>
      <c r="J36" s="178">
        <v>0</v>
      </c>
      <c r="K36" s="178">
        <f>IncomeSummary[[#This Row],[ BIBLE SOCIETY HARVEST]]</f>
        <v>0</v>
      </c>
      <c r="L36" s="178">
        <v>0</v>
      </c>
      <c r="M36" s="178">
        <v>0</v>
      </c>
      <c r="N36" s="178">
        <v>0</v>
      </c>
      <c r="O36" s="178">
        <v>0</v>
      </c>
      <c r="P36" s="178">
        <v>0</v>
      </c>
      <c r="Q36" s="178">
        <v>0</v>
      </c>
      <c r="R36" s="178"/>
      <c r="S36" s="178">
        <v>0</v>
      </c>
      <c r="T36" s="178">
        <v>0</v>
      </c>
      <c r="U36" s="178">
        <f>IncomeSummary[[#This Row],[ANNUAL HARVEST]]</f>
        <v>0</v>
      </c>
      <c r="V36" s="178"/>
      <c r="W36" s="178">
        <v>0</v>
      </c>
      <c r="X36" s="178">
        <v>0</v>
      </c>
      <c r="Y36" s="180">
        <f>SUM(WeeklyIncome[[#This Row],[TITHE]:[RENT]])</f>
        <v>572</v>
      </c>
    </row>
    <row r="37" spans="1:25" hidden="1" x14ac:dyDescent="0.25">
      <c r="A37" s="177">
        <f t="shared" si="0"/>
        <v>44450</v>
      </c>
      <c r="B37" s="180">
        <f>IncomeSummary[[#This Row],[TITHE]]</f>
        <v>579</v>
      </c>
      <c r="C37" s="180">
        <f>IncomeSummary[[#This Row],[SYSTEMATIC OFFERING]]</f>
        <v>212</v>
      </c>
      <c r="D37" s="180">
        <f>IncomeSummary[[#This Row],[THANKS OFFERING]]</f>
        <v>40</v>
      </c>
      <c r="E37" s="180">
        <f>IncomeSummary[[#This Row],[LOOSE OFFERING]]</f>
        <v>25</v>
      </c>
      <c r="F37" s="180">
        <f>IncomeSummary[[#This Row],[SABBATH SCHOOL OFFERING]]</f>
        <v>92</v>
      </c>
      <c r="G37" s="180">
        <f>IncomeSummary[[#This Row],[WELFARE]]</f>
        <v>88</v>
      </c>
      <c r="H37" s="178">
        <v>0</v>
      </c>
      <c r="I37" s="178">
        <v>0</v>
      </c>
      <c r="J37" s="178">
        <v>0</v>
      </c>
      <c r="K37" s="178">
        <f>IncomeSummary[[#This Row],[ BIBLE SOCIETY HARVEST]]</f>
        <v>0</v>
      </c>
      <c r="L37" s="178">
        <v>0</v>
      </c>
      <c r="M37" s="178">
        <v>0</v>
      </c>
      <c r="N37" s="178">
        <v>0</v>
      </c>
      <c r="O37" s="178">
        <v>0</v>
      </c>
      <c r="P37" s="178">
        <v>0</v>
      </c>
      <c r="Q37" s="178">
        <v>0</v>
      </c>
      <c r="R37" s="178"/>
      <c r="S37" s="178">
        <v>0</v>
      </c>
      <c r="T37" s="178">
        <v>0</v>
      </c>
      <c r="U37" s="178">
        <f>IncomeSummary[[#This Row],[ANNUAL HARVEST]]</f>
        <v>0</v>
      </c>
      <c r="V37" s="178"/>
      <c r="W37" s="178">
        <v>0</v>
      </c>
      <c r="X37" s="178">
        <v>0</v>
      </c>
      <c r="Y37" s="180">
        <f>SUM(WeeklyIncome[[#This Row],[TITHE]:[RENT]])</f>
        <v>1036</v>
      </c>
    </row>
    <row r="38" spans="1:25" hidden="1" x14ac:dyDescent="0.25">
      <c r="A38" s="177">
        <f t="shared" si="0"/>
        <v>44457</v>
      </c>
      <c r="B38" s="180">
        <f>IncomeSummary[[#This Row],[TITHE]]</f>
        <v>283</v>
      </c>
      <c r="C38" s="180">
        <f>IncomeSummary[[#This Row],[SYSTEMATIC OFFERING]]</f>
        <v>165</v>
      </c>
      <c r="D38" s="180">
        <f>IncomeSummary[[#This Row],[THANKS OFFERING]]</f>
        <v>20</v>
      </c>
      <c r="E38" s="180">
        <f>IncomeSummary[[#This Row],[LOOSE OFFERING]]</f>
        <v>35</v>
      </c>
      <c r="F38" s="180">
        <f>IncomeSummary[[#This Row],[SABBATH SCHOOL OFFERING]]</f>
        <v>60</v>
      </c>
      <c r="G38" s="180">
        <f>IncomeSummary[[#This Row],[WELFARE]]</f>
        <v>102</v>
      </c>
      <c r="H38" s="178">
        <v>0</v>
      </c>
      <c r="I38" s="178">
        <v>250</v>
      </c>
      <c r="J38" s="178">
        <v>0</v>
      </c>
      <c r="K38" s="178">
        <f>IncomeSummary[[#This Row],[ BIBLE SOCIETY HARVEST]]</f>
        <v>0</v>
      </c>
      <c r="L38" s="178">
        <v>0</v>
      </c>
      <c r="M38" s="178">
        <v>0</v>
      </c>
      <c r="N38" s="178">
        <v>0</v>
      </c>
      <c r="O38" s="178">
        <v>0</v>
      </c>
      <c r="P38" s="178">
        <v>0</v>
      </c>
      <c r="Q38" s="178">
        <v>0</v>
      </c>
      <c r="R38" s="178"/>
      <c r="S38" s="178">
        <v>0</v>
      </c>
      <c r="T38" s="178">
        <v>0</v>
      </c>
      <c r="U38" s="178">
        <f>IncomeSummary[[#This Row],[ANNUAL HARVEST]]</f>
        <v>0</v>
      </c>
      <c r="V38" s="178"/>
      <c r="W38" s="178">
        <v>0</v>
      </c>
      <c r="X38" s="178">
        <v>0</v>
      </c>
      <c r="Y38" s="180">
        <f>SUM(WeeklyIncome[[#This Row],[TITHE]:[RENT]])</f>
        <v>915</v>
      </c>
    </row>
    <row r="39" spans="1:25" hidden="1" x14ac:dyDescent="0.25">
      <c r="A39" s="177">
        <f t="shared" si="0"/>
        <v>44464</v>
      </c>
      <c r="B39" s="180">
        <f>IncomeSummary[[#This Row],[TITHE]]</f>
        <v>331</v>
      </c>
      <c r="C39" s="180">
        <f>IncomeSummary[[#This Row],[SYSTEMATIC OFFERING]]</f>
        <v>167</v>
      </c>
      <c r="D39" s="180">
        <f>IncomeSummary[[#This Row],[THANKS OFFERING]]</f>
        <v>70</v>
      </c>
      <c r="E39" s="180">
        <f>IncomeSummary[[#This Row],[LOOSE OFFERING]]</f>
        <v>37</v>
      </c>
      <c r="F39" s="180">
        <f>IncomeSummary[[#This Row],[SABBATH SCHOOL OFFERING]]</f>
        <v>150</v>
      </c>
      <c r="G39" s="180">
        <f>IncomeSummary[[#This Row],[WELFARE]]</f>
        <v>164</v>
      </c>
      <c r="H39" s="178">
        <v>0</v>
      </c>
      <c r="I39" s="178">
        <v>0</v>
      </c>
      <c r="J39" s="178">
        <v>0</v>
      </c>
      <c r="K39" s="178">
        <f>IncomeSummary[[#This Row],[ BIBLE SOCIETY HARVEST]]</f>
        <v>0</v>
      </c>
      <c r="L39" s="178">
        <v>0</v>
      </c>
      <c r="M39" s="178">
        <v>0</v>
      </c>
      <c r="N39" s="178">
        <v>0</v>
      </c>
      <c r="O39" s="178">
        <v>0</v>
      </c>
      <c r="P39" s="178">
        <v>0</v>
      </c>
      <c r="Q39" s="178">
        <v>0</v>
      </c>
      <c r="R39" s="178"/>
      <c r="S39" s="178">
        <v>0</v>
      </c>
      <c r="T39" s="178">
        <v>0</v>
      </c>
      <c r="U39" s="178">
        <f>IncomeSummary[[#This Row],[ANNUAL HARVEST]]</f>
        <v>0</v>
      </c>
      <c r="V39" s="178"/>
      <c r="W39" s="178">
        <v>0</v>
      </c>
      <c r="X39" s="178">
        <v>0</v>
      </c>
      <c r="Y39" s="180">
        <f>SUM(WeeklyIncome[[#This Row],[TITHE]:[RENT]])</f>
        <v>919</v>
      </c>
    </row>
    <row r="40" spans="1:25" hidden="1" x14ac:dyDescent="0.25">
      <c r="A40" s="177">
        <f t="shared" si="0"/>
        <v>44471</v>
      </c>
      <c r="B40" s="180">
        <f>IncomeSummary[[#This Row],[TITHE]]</f>
        <v>238</v>
      </c>
      <c r="C40" s="180">
        <f>IncomeSummary[[#This Row],[SYSTEMATIC OFFERING]]</f>
        <v>179</v>
      </c>
      <c r="D40" s="180">
        <f>IncomeSummary[[#This Row],[THANKS OFFERING]]</f>
        <v>57</v>
      </c>
      <c r="E40" s="180">
        <f>IncomeSummary[[#This Row],[LOOSE OFFERING]]</f>
        <v>100</v>
      </c>
      <c r="F40" s="180">
        <f>IncomeSummary[[#This Row],[SABBATH SCHOOL OFFERING]]</f>
        <v>427.9</v>
      </c>
      <c r="G40" s="180">
        <f>IncomeSummary[[#This Row],[WELFARE]]</f>
        <v>98</v>
      </c>
      <c r="H40" s="178">
        <v>0</v>
      </c>
      <c r="I40" s="178">
        <v>0</v>
      </c>
      <c r="J40" s="178">
        <v>0</v>
      </c>
      <c r="K40" s="178">
        <f>IncomeSummary[[#This Row],[ BIBLE SOCIETY HARVEST]]</f>
        <v>0</v>
      </c>
      <c r="L40" s="178">
        <v>0</v>
      </c>
      <c r="M40" s="178">
        <v>0</v>
      </c>
      <c r="N40" s="178">
        <v>0</v>
      </c>
      <c r="O40" s="178">
        <v>130</v>
      </c>
      <c r="P40" s="178">
        <v>0</v>
      </c>
      <c r="Q40" s="178">
        <v>0</v>
      </c>
      <c r="R40" s="178"/>
      <c r="S40" s="178">
        <v>0</v>
      </c>
      <c r="T40" s="178">
        <v>0</v>
      </c>
      <c r="U40" s="178">
        <f>IncomeSummary[[#This Row],[ANNUAL HARVEST]]</f>
        <v>0</v>
      </c>
      <c r="V40" s="178"/>
      <c r="W40" s="178">
        <v>0</v>
      </c>
      <c r="X40" s="178">
        <v>0</v>
      </c>
      <c r="Y40" s="180">
        <f>SUM(WeeklyIncome[[#This Row],[TITHE]:[RENT]])</f>
        <v>1229.9000000000001</v>
      </c>
    </row>
    <row r="41" spans="1:25" hidden="1" x14ac:dyDescent="0.25">
      <c r="A41" s="177">
        <f t="shared" si="0"/>
        <v>44478</v>
      </c>
      <c r="B41" s="180">
        <f>IncomeSummary[[#This Row],[TITHE]]</f>
        <v>135</v>
      </c>
      <c r="C41" s="180">
        <f>IncomeSummary[[#This Row],[SYSTEMATIC OFFERING]]</f>
        <v>217</v>
      </c>
      <c r="D41" s="180">
        <f>IncomeSummary[[#This Row],[THANKS OFFERING]]</f>
        <v>30</v>
      </c>
      <c r="E41" s="180">
        <f>IncomeSummary[[#This Row],[LOOSE OFFERING]]</f>
        <v>50</v>
      </c>
      <c r="F41" s="180">
        <f>IncomeSummary[[#This Row],[SABBATH SCHOOL OFFERING]]</f>
        <v>366.5</v>
      </c>
      <c r="G41" s="180">
        <f>IncomeSummary[[#This Row],[WELFARE]]</f>
        <v>70</v>
      </c>
      <c r="H41" s="178">
        <v>0</v>
      </c>
      <c r="I41" s="178">
        <v>0</v>
      </c>
      <c r="J41" s="178">
        <v>0</v>
      </c>
      <c r="K41" s="178">
        <f>IncomeSummary[[#This Row],[ BIBLE SOCIETY HARVEST]]</f>
        <v>0</v>
      </c>
      <c r="L41" s="178">
        <v>0</v>
      </c>
      <c r="M41" s="178">
        <v>0</v>
      </c>
      <c r="N41" s="178">
        <v>0</v>
      </c>
      <c r="O41" s="178">
        <v>0</v>
      </c>
      <c r="P41" s="178">
        <v>0</v>
      </c>
      <c r="Q41" s="178">
        <v>0</v>
      </c>
      <c r="R41" s="178"/>
      <c r="S41" s="178">
        <v>0</v>
      </c>
      <c r="T41" s="178">
        <v>0</v>
      </c>
      <c r="U41" s="178">
        <f>IncomeSummary[[#This Row],[ANNUAL HARVEST]]</f>
        <v>0</v>
      </c>
      <c r="V41" s="178"/>
      <c r="W41" s="178">
        <v>0</v>
      </c>
      <c r="X41" s="178">
        <v>0</v>
      </c>
      <c r="Y41" s="180">
        <f>SUM(WeeklyIncome[[#This Row],[TITHE]:[RENT]])</f>
        <v>868.5</v>
      </c>
    </row>
    <row r="42" spans="1:25" hidden="1" x14ac:dyDescent="0.25">
      <c r="A42" s="177">
        <f t="shared" si="0"/>
        <v>44485</v>
      </c>
      <c r="B42" s="180">
        <f>IncomeSummary[[#This Row],[TITHE]]</f>
        <v>249</v>
      </c>
      <c r="C42" s="180">
        <f>IncomeSummary[[#This Row],[SYSTEMATIC OFFERING]]</f>
        <v>169</v>
      </c>
      <c r="D42" s="180">
        <f>IncomeSummary[[#This Row],[THANKS OFFERING]]</f>
        <v>50</v>
      </c>
      <c r="E42" s="180">
        <f>IncomeSummary[[#This Row],[LOOSE OFFERING]]</f>
        <v>50</v>
      </c>
      <c r="F42" s="180">
        <f>IncomeSummary[[#This Row],[SABBATH SCHOOL OFFERING]]</f>
        <v>102.7</v>
      </c>
      <c r="G42" s="180">
        <f>IncomeSummary[[#This Row],[WELFARE]]</f>
        <v>30</v>
      </c>
      <c r="H42" s="178">
        <v>0</v>
      </c>
      <c r="I42" s="178">
        <v>0</v>
      </c>
      <c r="J42" s="178">
        <v>0</v>
      </c>
      <c r="K42" s="178">
        <f>IncomeSummary[[#This Row],[ BIBLE SOCIETY HARVEST]]</f>
        <v>0</v>
      </c>
      <c r="L42" s="178">
        <v>0</v>
      </c>
      <c r="M42" s="178">
        <v>0</v>
      </c>
      <c r="N42" s="178">
        <v>0</v>
      </c>
      <c r="O42" s="178">
        <v>0</v>
      </c>
      <c r="P42" s="178">
        <v>0</v>
      </c>
      <c r="Q42" s="178">
        <v>0</v>
      </c>
      <c r="R42" s="178"/>
      <c r="S42" s="178">
        <v>0</v>
      </c>
      <c r="T42" s="178">
        <v>0</v>
      </c>
      <c r="U42" s="178">
        <f>IncomeSummary[[#This Row],[ANNUAL HARVEST]]</f>
        <v>0</v>
      </c>
      <c r="V42" s="178"/>
      <c r="W42" s="178">
        <v>0</v>
      </c>
      <c r="X42" s="178">
        <v>0</v>
      </c>
      <c r="Y42" s="180">
        <f>SUM(WeeklyIncome[[#This Row],[TITHE]:[RENT]])</f>
        <v>650.70000000000005</v>
      </c>
    </row>
    <row r="43" spans="1:25" hidden="1" x14ac:dyDescent="0.25">
      <c r="A43" s="177">
        <f t="shared" si="0"/>
        <v>44492</v>
      </c>
      <c r="B43" s="180">
        <f>IncomeSummary[[#This Row],[TITHE]]</f>
        <v>119</v>
      </c>
      <c r="C43" s="180">
        <f>IncomeSummary[[#This Row],[SYSTEMATIC OFFERING]]</f>
        <v>85</v>
      </c>
      <c r="D43" s="180">
        <f>IncomeSummary[[#This Row],[THANKS OFFERING]]</f>
        <v>0</v>
      </c>
      <c r="E43" s="180">
        <f>IncomeSummary[[#This Row],[LOOSE OFFERING]]</f>
        <v>37</v>
      </c>
      <c r="F43" s="180">
        <f>IncomeSummary[[#This Row],[SABBATH SCHOOL OFFERING]]</f>
        <v>82</v>
      </c>
      <c r="G43" s="180">
        <f>IncomeSummary[[#This Row],[WELFARE]]</f>
        <v>22</v>
      </c>
      <c r="H43" s="178">
        <v>0</v>
      </c>
      <c r="I43" s="178">
        <v>0</v>
      </c>
      <c r="J43" s="178">
        <v>0</v>
      </c>
      <c r="K43" s="178">
        <f>IncomeSummary[[#This Row],[ BIBLE SOCIETY HARVEST]]</f>
        <v>0</v>
      </c>
      <c r="L43" s="178">
        <v>0</v>
      </c>
      <c r="M43" s="178">
        <v>0</v>
      </c>
      <c r="N43" s="178">
        <v>0</v>
      </c>
      <c r="O43" s="178">
        <v>0</v>
      </c>
      <c r="P43" s="178">
        <v>0</v>
      </c>
      <c r="Q43" s="178">
        <v>0</v>
      </c>
      <c r="R43" s="178"/>
      <c r="S43" s="178">
        <v>0</v>
      </c>
      <c r="T43" s="178">
        <v>0</v>
      </c>
      <c r="U43" s="178">
        <f>IncomeSummary[[#This Row],[ANNUAL HARVEST]]</f>
        <v>0</v>
      </c>
      <c r="V43" s="178"/>
      <c r="W43" s="178">
        <v>0</v>
      </c>
      <c r="X43" s="178">
        <v>0</v>
      </c>
      <c r="Y43" s="180">
        <f>SUM(WeeklyIncome[[#This Row],[TITHE]:[RENT]])</f>
        <v>345</v>
      </c>
    </row>
    <row r="44" spans="1:25" hidden="1" x14ac:dyDescent="0.25">
      <c r="A44" s="177">
        <f t="shared" si="0"/>
        <v>44499</v>
      </c>
      <c r="B44" s="180">
        <f>IncomeSummary[[#This Row],[TITHE]]</f>
        <v>243</v>
      </c>
      <c r="C44" s="180">
        <f>IncomeSummary[[#This Row],[SYSTEMATIC OFFERING]]</f>
        <v>93</v>
      </c>
      <c r="D44" s="180">
        <f>IncomeSummary[[#This Row],[THANKS OFFERING]]</f>
        <v>0</v>
      </c>
      <c r="E44" s="180">
        <f>IncomeSummary[[#This Row],[LOOSE OFFERING]]</f>
        <v>0</v>
      </c>
      <c r="F44" s="180">
        <f>IncomeSummary[[#This Row],[SABBATH SCHOOL OFFERING]]</f>
        <v>0</v>
      </c>
      <c r="G44" s="180">
        <f>IncomeSummary[[#This Row],[WELFARE]]</f>
        <v>50</v>
      </c>
      <c r="H44" s="178">
        <v>0</v>
      </c>
      <c r="I44" s="178">
        <v>0</v>
      </c>
      <c r="J44" s="178">
        <v>0</v>
      </c>
      <c r="K44" s="178">
        <f>IncomeSummary[[#This Row],[ BIBLE SOCIETY HARVEST]]</f>
        <v>0</v>
      </c>
      <c r="L44" s="178">
        <v>0</v>
      </c>
      <c r="M44" s="178">
        <v>972.5</v>
      </c>
      <c r="N44" s="178">
        <v>0</v>
      </c>
      <c r="O44" s="178">
        <v>0</v>
      </c>
      <c r="P44" s="178">
        <v>0</v>
      </c>
      <c r="Q44" s="178">
        <v>0</v>
      </c>
      <c r="R44" s="178"/>
      <c r="S44" s="178">
        <v>0</v>
      </c>
      <c r="T44" s="178">
        <v>0</v>
      </c>
      <c r="U44" s="178">
        <f>IncomeSummary[[#This Row],[ANNUAL HARVEST]]</f>
        <v>0</v>
      </c>
      <c r="V44" s="178"/>
      <c r="W44" s="178">
        <v>0</v>
      </c>
      <c r="X44" s="178">
        <v>0</v>
      </c>
      <c r="Y44" s="180">
        <f>SUM(WeeklyIncome[[#This Row],[TITHE]:[RENT]])</f>
        <v>1358.5</v>
      </c>
    </row>
    <row r="45" spans="1:25" hidden="1" x14ac:dyDescent="0.25">
      <c r="A45" s="177">
        <f t="shared" si="0"/>
        <v>44506</v>
      </c>
      <c r="B45" s="180">
        <f>IncomeSummary[[#This Row],[TITHE]]</f>
        <v>298</v>
      </c>
      <c r="C45" s="180">
        <f>IncomeSummary[[#This Row],[SYSTEMATIC OFFERING]]</f>
        <v>237</v>
      </c>
      <c r="D45" s="180">
        <f>IncomeSummary[[#This Row],[THANKS OFFERING]]</f>
        <v>25</v>
      </c>
      <c r="E45" s="180">
        <f>IncomeSummary[[#This Row],[LOOSE OFFERING]]</f>
        <v>49</v>
      </c>
      <c r="F45" s="180">
        <f>IncomeSummary[[#This Row],[SABBATH SCHOOL OFFERING]]</f>
        <v>60</v>
      </c>
      <c r="G45" s="180">
        <f>IncomeSummary[[#This Row],[WELFARE]]</f>
        <v>152</v>
      </c>
      <c r="H45" s="178">
        <v>0</v>
      </c>
      <c r="I45" s="178">
        <v>0</v>
      </c>
      <c r="J45" s="178">
        <v>0</v>
      </c>
      <c r="K45" s="178">
        <f>IncomeSummary[[#This Row],[ BIBLE SOCIETY HARVEST]]</f>
        <v>0</v>
      </c>
      <c r="L45" s="178">
        <v>0</v>
      </c>
      <c r="M45" s="178">
        <v>0</v>
      </c>
      <c r="N45" s="178">
        <v>0</v>
      </c>
      <c r="O45" s="178">
        <v>0</v>
      </c>
      <c r="P45" s="178">
        <v>0</v>
      </c>
      <c r="Q45" s="178">
        <v>0</v>
      </c>
      <c r="R45" s="178"/>
      <c r="S45" s="178">
        <v>0</v>
      </c>
      <c r="T45" s="178">
        <v>0</v>
      </c>
      <c r="U45" s="178">
        <f>IncomeSummary[[#This Row],[ANNUAL HARVEST]]</f>
        <v>0</v>
      </c>
      <c r="V45" s="178"/>
      <c r="W45" s="178">
        <v>0</v>
      </c>
      <c r="X45" s="178">
        <v>0</v>
      </c>
      <c r="Y45" s="180">
        <f>SUM(WeeklyIncome[[#This Row],[TITHE]:[RENT]])</f>
        <v>821</v>
      </c>
    </row>
    <row r="46" spans="1:25" hidden="1" x14ac:dyDescent="0.25">
      <c r="A46" s="177">
        <f t="shared" si="0"/>
        <v>44513</v>
      </c>
      <c r="B46" s="180">
        <f>IncomeSummary[[#This Row],[TITHE]]</f>
        <v>194</v>
      </c>
      <c r="C46" s="180">
        <f>IncomeSummary[[#This Row],[SYSTEMATIC OFFERING]]</f>
        <v>165</v>
      </c>
      <c r="D46" s="180">
        <f>IncomeSummary[[#This Row],[THANKS OFFERING]]</f>
        <v>100</v>
      </c>
      <c r="E46" s="180">
        <f>IncomeSummary[[#This Row],[LOOSE OFFERING]]</f>
        <v>150</v>
      </c>
      <c r="F46" s="180">
        <f>IncomeSummary[[#This Row],[SABBATH SCHOOL OFFERING]]</f>
        <v>588</v>
      </c>
      <c r="G46" s="180">
        <f>IncomeSummary[[#This Row],[WELFARE]]</f>
        <v>112</v>
      </c>
      <c r="H46" s="178">
        <v>0</v>
      </c>
      <c r="I46" s="178">
        <v>0</v>
      </c>
      <c r="J46" s="178">
        <v>0</v>
      </c>
      <c r="K46" s="178">
        <f>IncomeSummary[[#This Row],[ BIBLE SOCIETY HARVEST]]</f>
        <v>0</v>
      </c>
      <c r="L46" s="178">
        <v>0</v>
      </c>
      <c r="M46" s="178">
        <v>0</v>
      </c>
      <c r="N46" s="178">
        <v>0</v>
      </c>
      <c r="O46" s="178">
        <v>0</v>
      </c>
      <c r="P46" s="178">
        <v>0</v>
      </c>
      <c r="Q46" s="178">
        <v>0</v>
      </c>
      <c r="R46" s="178"/>
      <c r="S46" s="178">
        <v>0</v>
      </c>
      <c r="T46" s="178">
        <v>0</v>
      </c>
      <c r="U46" s="178">
        <f>IncomeSummary[[#This Row],[ANNUAL HARVEST]]</f>
        <v>0</v>
      </c>
      <c r="V46" s="178"/>
      <c r="W46" s="178">
        <v>0</v>
      </c>
      <c r="X46" s="178">
        <v>0</v>
      </c>
      <c r="Y46" s="180">
        <f>SUM(WeeklyIncome[[#This Row],[TITHE]:[RENT]])</f>
        <v>1309</v>
      </c>
    </row>
    <row r="47" spans="1:25" hidden="1" x14ac:dyDescent="0.25">
      <c r="A47" s="177">
        <f t="shared" si="0"/>
        <v>44520</v>
      </c>
      <c r="B47" s="180">
        <f>IncomeSummary[[#This Row],[TITHE]]</f>
        <v>306</v>
      </c>
      <c r="C47" s="180">
        <f>IncomeSummary[[#This Row],[SYSTEMATIC OFFERING]]</f>
        <v>119</v>
      </c>
      <c r="D47" s="180">
        <f>IncomeSummary[[#This Row],[THANKS OFFERING]]</f>
        <v>50</v>
      </c>
      <c r="E47" s="180">
        <f>IncomeSummary[[#This Row],[LOOSE OFFERING]]</f>
        <v>50</v>
      </c>
      <c r="F47" s="180">
        <f>IncomeSummary[[#This Row],[SABBATH SCHOOL OFFERING]]</f>
        <v>71</v>
      </c>
      <c r="G47" s="180">
        <f>IncomeSummary[[#This Row],[WELFARE]]</f>
        <v>112</v>
      </c>
      <c r="H47" s="178">
        <v>0</v>
      </c>
      <c r="I47" s="178">
        <v>0</v>
      </c>
      <c r="J47" s="178">
        <v>0</v>
      </c>
      <c r="K47" s="178">
        <f>IncomeSummary[[#This Row],[ BIBLE SOCIETY HARVEST]]</f>
        <v>0</v>
      </c>
      <c r="L47" s="178">
        <v>11000</v>
      </c>
      <c r="M47" s="178">
        <v>0</v>
      </c>
      <c r="N47" s="178">
        <v>0</v>
      </c>
      <c r="O47" s="178">
        <v>90</v>
      </c>
      <c r="P47" s="178">
        <v>0</v>
      </c>
      <c r="Q47" s="178">
        <v>0</v>
      </c>
      <c r="R47" s="178"/>
      <c r="S47" s="178">
        <v>0</v>
      </c>
      <c r="T47" s="178">
        <v>0</v>
      </c>
      <c r="U47" s="178">
        <f>IncomeSummary[[#This Row],[ANNUAL HARVEST]]</f>
        <v>0</v>
      </c>
      <c r="V47" s="178"/>
      <c r="W47" s="178">
        <v>0</v>
      </c>
      <c r="X47" s="178">
        <v>0</v>
      </c>
      <c r="Y47" s="180">
        <f>SUM(WeeklyIncome[[#This Row],[TITHE]:[RENT]])</f>
        <v>11798</v>
      </c>
    </row>
    <row r="48" spans="1:25" hidden="1" x14ac:dyDescent="0.25">
      <c r="A48" s="177">
        <f t="shared" si="0"/>
        <v>44527</v>
      </c>
      <c r="B48" s="180">
        <f>IncomeSummary[[#This Row],[TITHE]]</f>
        <v>218</v>
      </c>
      <c r="C48" s="180">
        <f>IncomeSummary[[#This Row],[SYSTEMATIC OFFERING]]</f>
        <v>112</v>
      </c>
      <c r="D48" s="180">
        <f>IncomeSummary[[#This Row],[THANKS OFFERING]]</f>
        <v>0</v>
      </c>
      <c r="E48" s="180">
        <f>IncomeSummary[[#This Row],[LOOSE OFFERING]]</f>
        <v>0</v>
      </c>
      <c r="F48" s="180">
        <f>IncomeSummary[[#This Row],[SABBATH SCHOOL OFFERING]]</f>
        <v>52</v>
      </c>
      <c r="G48" s="180">
        <f>IncomeSummary[[#This Row],[WELFARE]]</f>
        <v>60</v>
      </c>
      <c r="H48" s="178">
        <v>0</v>
      </c>
      <c r="I48" s="178">
        <v>0</v>
      </c>
      <c r="J48" s="178">
        <v>0</v>
      </c>
      <c r="K48" s="178">
        <f>IncomeSummary[[#This Row],[ BIBLE SOCIETY HARVEST]]</f>
        <v>0</v>
      </c>
      <c r="L48" s="178">
        <v>0</v>
      </c>
      <c r="M48" s="178">
        <v>2600</v>
      </c>
      <c r="N48" s="178">
        <v>0</v>
      </c>
      <c r="O48" s="178">
        <v>0</v>
      </c>
      <c r="P48" s="178">
        <v>0</v>
      </c>
      <c r="Q48" s="178">
        <v>0</v>
      </c>
      <c r="R48" s="178"/>
      <c r="S48" s="178">
        <v>0</v>
      </c>
      <c r="T48" s="178">
        <v>0</v>
      </c>
      <c r="U48" s="178">
        <f>IncomeSummary[[#This Row],[ANNUAL HARVEST]]</f>
        <v>0</v>
      </c>
      <c r="V48" s="178"/>
      <c r="W48" s="178">
        <v>0</v>
      </c>
      <c r="X48" s="178">
        <v>0</v>
      </c>
      <c r="Y48" s="180">
        <f>SUM(WeeklyIncome[[#This Row],[TITHE]:[RENT]])</f>
        <v>3042</v>
      </c>
    </row>
    <row r="49" spans="1:25" hidden="1" x14ac:dyDescent="0.25">
      <c r="A49" s="177">
        <f t="shared" si="0"/>
        <v>44534</v>
      </c>
      <c r="B49" s="180">
        <f>IncomeSummary[[#This Row],[TITHE]]</f>
        <v>200</v>
      </c>
      <c r="C49" s="180">
        <f>IncomeSummary[[#This Row],[SYSTEMATIC OFFERING]]</f>
        <v>110</v>
      </c>
      <c r="D49" s="180">
        <f>IncomeSummary[[#This Row],[THANKS OFFERING]]</f>
        <v>50</v>
      </c>
      <c r="E49" s="180">
        <f>IncomeSummary[[#This Row],[LOOSE OFFERING]]</f>
        <v>48</v>
      </c>
      <c r="F49" s="180">
        <f>IncomeSummary[[#This Row],[SABBATH SCHOOL OFFERING]]</f>
        <v>175</v>
      </c>
      <c r="G49" s="180">
        <f>IncomeSummary[[#This Row],[WELFARE]]</f>
        <v>186</v>
      </c>
      <c r="H49" s="178">
        <v>0</v>
      </c>
      <c r="I49" s="178">
        <v>200</v>
      </c>
      <c r="J49" s="178">
        <v>0</v>
      </c>
      <c r="K49" s="178">
        <f>IncomeSummary[[#This Row],[ BIBLE SOCIETY HARVEST]]</f>
        <v>0</v>
      </c>
      <c r="L49" s="178">
        <v>0</v>
      </c>
      <c r="M49" s="178">
        <v>0</v>
      </c>
      <c r="N49" s="178">
        <v>0</v>
      </c>
      <c r="O49" s="178">
        <v>0</v>
      </c>
      <c r="P49" s="178">
        <v>0</v>
      </c>
      <c r="Q49" s="178">
        <v>0</v>
      </c>
      <c r="R49" s="178"/>
      <c r="S49" s="178">
        <v>0</v>
      </c>
      <c r="T49" s="178">
        <v>0</v>
      </c>
      <c r="U49" s="178">
        <f>IncomeSummary[[#This Row],[ANNUAL HARVEST]]</f>
        <v>0</v>
      </c>
      <c r="V49" s="178"/>
      <c r="W49" s="178">
        <v>0</v>
      </c>
      <c r="X49" s="178">
        <v>0</v>
      </c>
      <c r="Y49" s="180">
        <f>SUM(WeeklyIncome[[#This Row],[TITHE]:[RENT]])</f>
        <v>969</v>
      </c>
    </row>
    <row r="50" spans="1:25" hidden="1" x14ac:dyDescent="0.25">
      <c r="A50" s="177">
        <f t="shared" si="0"/>
        <v>44541</v>
      </c>
      <c r="B50" s="180">
        <f>IncomeSummary[[#This Row],[TITHE]]</f>
        <v>158</v>
      </c>
      <c r="C50" s="180">
        <f>IncomeSummary[[#This Row],[SYSTEMATIC OFFERING]]</f>
        <v>178</v>
      </c>
      <c r="D50" s="180">
        <f>IncomeSummary[[#This Row],[THANKS OFFERING]]</f>
        <v>30</v>
      </c>
      <c r="E50" s="180">
        <f>IncomeSummary[[#This Row],[LOOSE OFFERING]]</f>
        <v>46</v>
      </c>
      <c r="F50" s="180">
        <f>IncomeSummary[[#This Row],[SABBATH SCHOOL OFFERING]]</f>
        <v>102</v>
      </c>
      <c r="G50" s="180">
        <f>IncomeSummary[[#This Row],[WELFARE]]</f>
        <v>172</v>
      </c>
      <c r="H50" s="178">
        <v>0</v>
      </c>
      <c r="I50" s="178">
        <v>0</v>
      </c>
      <c r="J50" s="178">
        <v>0</v>
      </c>
      <c r="K50" s="178">
        <f>IncomeSummary[[#This Row],[ BIBLE SOCIETY HARVEST]]</f>
        <v>0</v>
      </c>
      <c r="L50" s="178">
        <v>0</v>
      </c>
      <c r="M50" s="178">
        <v>0</v>
      </c>
      <c r="N50" s="178">
        <v>0</v>
      </c>
      <c r="O50" s="178">
        <v>0</v>
      </c>
      <c r="P50" s="178">
        <v>0</v>
      </c>
      <c r="Q50" s="178">
        <v>0</v>
      </c>
      <c r="R50" s="178"/>
      <c r="S50" s="178">
        <v>0</v>
      </c>
      <c r="T50" s="178">
        <v>0</v>
      </c>
      <c r="U50" s="178">
        <f>IncomeSummary[[#This Row],[ANNUAL HARVEST]]</f>
        <v>0</v>
      </c>
      <c r="V50" s="178"/>
      <c r="W50" s="178">
        <v>0</v>
      </c>
      <c r="X50" s="178">
        <v>0</v>
      </c>
      <c r="Y50" s="180">
        <f>SUM(WeeklyIncome[[#This Row],[TITHE]:[RENT]])</f>
        <v>686</v>
      </c>
    </row>
    <row r="51" spans="1:25" hidden="1" x14ac:dyDescent="0.25">
      <c r="A51" s="177">
        <f t="shared" si="0"/>
        <v>44548</v>
      </c>
      <c r="B51" s="180">
        <f>IncomeSummary[[#This Row],[TITHE]]</f>
        <v>344</v>
      </c>
      <c r="C51" s="180">
        <f>IncomeSummary[[#This Row],[SYSTEMATIC OFFERING]]</f>
        <v>238</v>
      </c>
      <c r="D51" s="180">
        <f>IncomeSummary[[#This Row],[THANKS OFFERING]]</f>
        <v>20</v>
      </c>
      <c r="E51" s="180">
        <f>IncomeSummary[[#This Row],[LOOSE OFFERING]]</f>
        <v>0</v>
      </c>
      <c r="F51" s="180">
        <f>IncomeSummary[[#This Row],[SABBATH SCHOOL OFFERING]]</f>
        <v>56</v>
      </c>
      <c r="G51" s="180">
        <f>IncomeSummary[[#This Row],[WELFARE]]</f>
        <v>240</v>
      </c>
      <c r="H51" s="178">
        <v>0</v>
      </c>
      <c r="I51" s="178">
        <v>0</v>
      </c>
      <c r="J51" s="178">
        <v>0</v>
      </c>
      <c r="K51" s="178">
        <f>IncomeSummary[[#This Row],[ BIBLE SOCIETY HARVEST]]</f>
        <v>0</v>
      </c>
      <c r="L51" s="178">
        <v>0</v>
      </c>
      <c r="M51" s="178">
        <v>0</v>
      </c>
      <c r="N51" s="178">
        <v>0</v>
      </c>
      <c r="O51" s="178">
        <v>0</v>
      </c>
      <c r="P51" s="178">
        <v>0</v>
      </c>
      <c r="Q51" s="178">
        <v>0</v>
      </c>
      <c r="R51" s="178"/>
      <c r="S51" s="178">
        <v>0</v>
      </c>
      <c r="T51" s="178">
        <v>0</v>
      </c>
      <c r="U51" s="178">
        <f>IncomeSummary[[#This Row],[ANNUAL HARVEST]]</f>
        <v>12000</v>
      </c>
      <c r="V51" s="178"/>
      <c r="W51" s="178">
        <v>0</v>
      </c>
      <c r="X51" s="178">
        <v>0</v>
      </c>
      <c r="Y51" s="180">
        <f>SUM(WeeklyIncome[[#This Row],[TITHE]:[RENT]])</f>
        <v>12898</v>
      </c>
    </row>
    <row r="52" spans="1:25" hidden="1" x14ac:dyDescent="0.25">
      <c r="A52" s="177">
        <f t="shared" si="0"/>
        <v>44555</v>
      </c>
      <c r="B52" s="180">
        <f>IncomeSummary[[#This Row],[TITHE]]</f>
        <v>231</v>
      </c>
      <c r="C52" s="180">
        <f>IncomeSummary[[#This Row],[SYSTEMATIC OFFERING]]</f>
        <v>127</v>
      </c>
      <c r="D52" s="180">
        <f>IncomeSummary[[#This Row],[THANKS OFFERING]]</f>
        <v>130</v>
      </c>
      <c r="E52" s="180">
        <f>IncomeSummary[[#This Row],[LOOSE OFFERING]]</f>
        <v>54</v>
      </c>
      <c r="F52" s="180">
        <f>IncomeSummary[[#This Row],[SABBATH SCHOOL OFFERING]]</f>
        <v>420</v>
      </c>
      <c r="G52" s="180">
        <f>IncomeSummary[[#This Row],[WELFARE]]</f>
        <v>577</v>
      </c>
      <c r="H52" s="178">
        <v>0</v>
      </c>
      <c r="I52" s="178">
        <v>0</v>
      </c>
      <c r="J52" s="178">
        <v>0</v>
      </c>
      <c r="K52" s="178">
        <f>IncomeSummary[[#This Row],[ BIBLE SOCIETY HARVEST]]</f>
        <v>0</v>
      </c>
      <c r="L52" s="178">
        <v>4850</v>
      </c>
      <c r="M52" s="178">
        <v>0</v>
      </c>
      <c r="N52" s="178">
        <v>0</v>
      </c>
      <c r="O52" s="178">
        <v>0</v>
      </c>
      <c r="P52" s="178">
        <v>0</v>
      </c>
      <c r="Q52" s="178">
        <v>0</v>
      </c>
      <c r="R52" s="178"/>
      <c r="S52" s="178">
        <v>0</v>
      </c>
      <c r="T52" s="178">
        <v>0</v>
      </c>
      <c r="U52" s="178">
        <f>IncomeSummary[[#This Row],[ANNUAL HARVEST]]</f>
        <v>0</v>
      </c>
      <c r="V52" s="178"/>
      <c r="W52" s="178">
        <v>0</v>
      </c>
      <c r="X52" s="178">
        <v>0</v>
      </c>
      <c r="Y52" s="180">
        <f>SUM(WeeklyIncome[[#This Row],[TITHE]:[RENT]])</f>
        <v>6389</v>
      </c>
    </row>
    <row r="53" spans="1:25" hidden="1" x14ac:dyDescent="0.25">
      <c r="A53" s="177">
        <f t="shared" si="0"/>
        <v>44562</v>
      </c>
      <c r="B53" s="180">
        <f>IncomeSummary[[#This Row],[TITHE]]</f>
        <v>355</v>
      </c>
      <c r="C53" s="180">
        <f>IncomeSummary[[#This Row],[SYSTEMATIC OFFERING]]</f>
        <v>98</v>
      </c>
      <c r="D53" s="180">
        <f>IncomeSummary[[#This Row],[THANKS OFFERING]]</f>
        <v>0</v>
      </c>
      <c r="E53" s="180">
        <f>IncomeSummary[[#This Row],[LOOSE OFFERING]]</f>
        <v>0</v>
      </c>
      <c r="F53" s="180">
        <f>IncomeSummary[[#This Row],[SABBATH SCHOOL OFFERING]]</f>
        <v>90.4</v>
      </c>
      <c r="G53" s="180">
        <f>IncomeSummary[[#This Row],[WELFARE]]</f>
        <v>130</v>
      </c>
      <c r="H53" s="178">
        <v>0</v>
      </c>
      <c r="I53" s="178">
        <v>0</v>
      </c>
      <c r="J53" s="178">
        <v>0</v>
      </c>
      <c r="K53" s="178">
        <f>IncomeSummary[[#This Row],[ BIBLE SOCIETY HARVEST]]</f>
        <v>0</v>
      </c>
      <c r="L53" s="178">
        <v>2400</v>
      </c>
      <c r="M53" s="178">
        <v>973</v>
      </c>
      <c r="N53" s="178">
        <v>0</v>
      </c>
      <c r="O53" s="178">
        <v>0</v>
      </c>
      <c r="P53" s="178">
        <v>0</v>
      </c>
      <c r="Q53" s="178">
        <v>0</v>
      </c>
      <c r="R53" s="178"/>
      <c r="S53" s="178">
        <v>0</v>
      </c>
      <c r="T53" s="178">
        <v>0</v>
      </c>
      <c r="U53" s="178">
        <f>IncomeSummary[[#This Row],[ANNUAL HARVEST]]</f>
        <v>0</v>
      </c>
      <c r="V53" s="178"/>
      <c r="W53" s="178">
        <v>0</v>
      </c>
      <c r="X53" s="178">
        <v>0</v>
      </c>
      <c r="Y53" s="180">
        <f>SUM(WeeklyIncome[[#This Row],[TITHE]:[RENT]])</f>
        <v>4046.4</v>
      </c>
    </row>
    <row r="54" spans="1:25" hidden="1" x14ac:dyDescent="0.25">
      <c r="A54" s="177">
        <f t="shared" si="0"/>
        <v>44569</v>
      </c>
      <c r="B54" s="180">
        <f>IncomeSummary[[#This Row],[TITHE]]</f>
        <v>608</v>
      </c>
      <c r="C54" s="180">
        <f>IncomeSummary[[#This Row],[SYSTEMATIC OFFERING]]</f>
        <v>337</v>
      </c>
      <c r="D54" s="180">
        <f>IncomeSummary[[#This Row],[THANKS OFFERING]]</f>
        <v>40</v>
      </c>
      <c r="E54" s="180">
        <f>IncomeSummary[[#This Row],[LOOSE OFFERING]]</f>
        <v>50</v>
      </c>
      <c r="F54" s="180">
        <f>IncomeSummary[[#This Row],[SABBATH SCHOOL OFFERING]]</f>
        <v>193</v>
      </c>
      <c r="G54" s="180">
        <f>IncomeSummary[[#This Row],[WELFARE]]</f>
        <v>169</v>
      </c>
      <c r="H54" s="178">
        <v>0</v>
      </c>
      <c r="I54" s="178">
        <v>0</v>
      </c>
      <c r="J54" s="178">
        <v>0</v>
      </c>
      <c r="K54" s="178">
        <f>IncomeSummary[[#This Row],[ BIBLE SOCIETY HARVEST]]</f>
        <v>0</v>
      </c>
      <c r="L54" s="178">
        <v>200</v>
      </c>
      <c r="M54" s="178">
        <v>0</v>
      </c>
      <c r="N54" s="178">
        <v>0</v>
      </c>
      <c r="O54" s="178">
        <v>0</v>
      </c>
      <c r="P54" s="178">
        <v>0</v>
      </c>
      <c r="Q54" s="178">
        <v>0</v>
      </c>
      <c r="R54" s="178"/>
      <c r="S54" s="178">
        <v>51</v>
      </c>
      <c r="T54" s="178">
        <v>0</v>
      </c>
      <c r="U54" s="178">
        <f>IncomeSummary[[#This Row],[ANNUAL HARVEST]]</f>
        <v>0</v>
      </c>
      <c r="V54" s="178"/>
      <c r="W54" s="178">
        <v>0</v>
      </c>
      <c r="X54" s="178">
        <v>0</v>
      </c>
      <c r="Y54" s="180">
        <f>SUM(WeeklyIncome[[#This Row],[TITHE]:[RENT]])</f>
        <v>1648</v>
      </c>
    </row>
    <row r="55" spans="1:25" hidden="1" x14ac:dyDescent="0.25">
      <c r="A55" s="177">
        <f t="shared" si="0"/>
        <v>44576</v>
      </c>
      <c r="B55" s="180">
        <f>IncomeSummary[[#This Row],[TITHE]]</f>
        <v>215</v>
      </c>
      <c r="C55" s="180">
        <f>IncomeSummary[[#This Row],[SYSTEMATIC OFFERING]]</f>
        <v>155</v>
      </c>
      <c r="D55" s="180">
        <f>IncomeSummary[[#This Row],[THANKS OFFERING]]</f>
        <v>30</v>
      </c>
      <c r="E55" s="180">
        <f>IncomeSummary[[#This Row],[LOOSE OFFERING]]</f>
        <v>53</v>
      </c>
      <c r="F55" s="180">
        <f>IncomeSummary[[#This Row],[SABBATH SCHOOL OFFERING]]</f>
        <v>99.7</v>
      </c>
      <c r="G55" s="180">
        <f>IncomeSummary[[#This Row],[WELFARE]]</f>
        <v>130</v>
      </c>
      <c r="H55" s="178">
        <v>0</v>
      </c>
      <c r="I55" s="178">
        <v>0</v>
      </c>
      <c r="J55" s="178">
        <v>0</v>
      </c>
      <c r="K55" s="178">
        <f>IncomeSummary[[#This Row],[ BIBLE SOCIETY HARVEST]]</f>
        <v>0</v>
      </c>
      <c r="L55" s="178">
        <v>0</v>
      </c>
      <c r="M55" s="178">
        <v>0</v>
      </c>
      <c r="N55" s="178">
        <v>0</v>
      </c>
      <c r="O55" s="178">
        <v>0</v>
      </c>
      <c r="P55" s="178">
        <v>0</v>
      </c>
      <c r="Q55" s="178">
        <v>0</v>
      </c>
      <c r="R55" s="178"/>
      <c r="S55" s="178">
        <v>0</v>
      </c>
      <c r="T55" s="178">
        <v>0</v>
      </c>
      <c r="U55" s="178">
        <f>IncomeSummary[[#This Row],[ANNUAL HARVEST]]</f>
        <v>0</v>
      </c>
      <c r="V55" s="178"/>
      <c r="W55" s="178">
        <v>0</v>
      </c>
      <c r="X55" s="178">
        <v>0</v>
      </c>
      <c r="Y55" s="180">
        <f>SUM(WeeklyIncome[[#This Row],[TITHE]:[RENT]])</f>
        <v>682.7</v>
      </c>
    </row>
    <row r="56" spans="1:25" hidden="1" x14ac:dyDescent="0.25">
      <c r="A56" s="177">
        <f t="shared" si="0"/>
        <v>44583</v>
      </c>
      <c r="B56" s="180">
        <f>IncomeSummary[[#This Row],[TITHE]]</f>
        <v>281.5</v>
      </c>
      <c r="C56" s="180">
        <f>IncomeSummary[[#This Row],[SYSTEMATIC OFFERING]]</f>
        <v>217</v>
      </c>
      <c r="D56" s="180">
        <f>IncomeSummary[[#This Row],[THANKS OFFERING]]</f>
        <v>15</v>
      </c>
      <c r="E56" s="180">
        <f>IncomeSummary[[#This Row],[LOOSE OFFERING]]</f>
        <v>50</v>
      </c>
      <c r="F56" s="180">
        <f>IncomeSummary[[#This Row],[SABBATH SCHOOL OFFERING]]</f>
        <v>170</v>
      </c>
      <c r="G56" s="180">
        <f>IncomeSummary[[#This Row],[WELFARE]]</f>
        <v>473</v>
      </c>
      <c r="H56" s="178">
        <v>0</v>
      </c>
      <c r="I56" s="178">
        <v>0</v>
      </c>
      <c r="J56" s="178">
        <v>0</v>
      </c>
      <c r="K56" s="178">
        <f>IncomeSummary[[#This Row],[ BIBLE SOCIETY HARVEST]]</f>
        <v>0</v>
      </c>
      <c r="L56" s="178">
        <v>0</v>
      </c>
      <c r="M56" s="178">
        <v>0</v>
      </c>
      <c r="N56" s="178">
        <v>0</v>
      </c>
      <c r="O56" s="178">
        <v>0</v>
      </c>
      <c r="P56" s="178">
        <v>0</v>
      </c>
      <c r="Q56" s="178">
        <v>0</v>
      </c>
      <c r="R56" s="178"/>
      <c r="S56" s="178">
        <v>0</v>
      </c>
      <c r="T56" s="178">
        <v>0</v>
      </c>
      <c r="U56" s="178">
        <f>IncomeSummary[[#This Row],[ANNUAL HARVEST]]</f>
        <v>0</v>
      </c>
      <c r="V56" s="178"/>
      <c r="W56" s="178">
        <v>0</v>
      </c>
      <c r="X56" s="178">
        <v>0</v>
      </c>
      <c r="Y56" s="180">
        <f>SUM(WeeklyIncome[[#This Row],[TITHE]:[RENT]])</f>
        <v>1206.5</v>
      </c>
    </row>
    <row r="57" spans="1:25" hidden="1" x14ac:dyDescent="0.25">
      <c r="A57" s="177">
        <f t="shared" si="0"/>
        <v>44590</v>
      </c>
      <c r="B57" s="180">
        <f>IncomeSummary[[#This Row],[TITHE]]</f>
        <v>293</v>
      </c>
      <c r="C57" s="180">
        <f>IncomeSummary[[#This Row],[SYSTEMATIC OFFERING]]</f>
        <v>131</v>
      </c>
      <c r="D57" s="180">
        <f>IncomeSummary[[#This Row],[THANKS OFFERING]]</f>
        <v>45</v>
      </c>
      <c r="E57" s="180">
        <f>IncomeSummary[[#This Row],[LOOSE OFFERING]]</f>
        <v>74</v>
      </c>
      <c r="F57" s="180">
        <f>IncomeSummary[[#This Row],[SABBATH SCHOOL OFFERING]]</f>
        <v>210</v>
      </c>
      <c r="G57" s="180">
        <f>IncomeSummary[[#This Row],[WELFARE]]</f>
        <v>108</v>
      </c>
      <c r="H57" s="178">
        <v>0</v>
      </c>
      <c r="I57" s="178">
        <v>0</v>
      </c>
      <c r="J57" s="178">
        <v>0</v>
      </c>
      <c r="K57" s="178">
        <f>IncomeSummary[[#This Row],[ BIBLE SOCIETY HARVEST]]</f>
        <v>0</v>
      </c>
      <c r="L57" s="178">
        <v>0</v>
      </c>
      <c r="M57" s="178">
        <v>0</v>
      </c>
      <c r="N57" s="178">
        <v>0</v>
      </c>
      <c r="O57" s="178">
        <v>0</v>
      </c>
      <c r="P57" s="178">
        <v>0</v>
      </c>
      <c r="Q57" s="178">
        <v>0</v>
      </c>
      <c r="R57" s="178"/>
      <c r="S57" s="178">
        <v>0</v>
      </c>
      <c r="T57" s="178">
        <v>0</v>
      </c>
      <c r="U57" s="178">
        <f>IncomeSummary[[#This Row],[ANNUAL HARVEST]]</f>
        <v>0</v>
      </c>
      <c r="V57" s="178"/>
      <c r="W57" s="178">
        <v>0</v>
      </c>
      <c r="X57" s="178">
        <v>0</v>
      </c>
      <c r="Y57" s="180">
        <f>SUM(WeeklyIncome[[#This Row],[TITHE]:[RENT]])</f>
        <v>861</v>
      </c>
    </row>
    <row r="58" spans="1:25" hidden="1" x14ac:dyDescent="0.25">
      <c r="A58" s="177">
        <f t="shared" si="0"/>
        <v>44597</v>
      </c>
      <c r="B58" s="180">
        <f>IncomeSummary[[#This Row],[TITHE]]</f>
        <v>226</v>
      </c>
      <c r="C58" s="180">
        <f>IncomeSummary[[#This Row],[SYSTEMATIC OFFERING]]</f>
        <v>143</v>
      </c>
      <c r="D58" s="180">
        <f>IncomeSummary[[#This Row],[THANKS OFFERING]]</f>
        <v>50</v>
      </c>
      <c r="E58" s="180">
        <f>IncomeSummary[[#This Row],[LOOSE OFFERING]]</f>
        <v>102</v>
      </c>
      <c r="F58" s="180">
        <f>IncomeSummary[[#This Row],[SABBATH SCHOOL OFFERING]]</f>
        <v>231</v>
      </c>
      <c r="G58" s="180">
        <f>IncomeSummary[[#This Row],[WELFARE]]</f>
        <v>299</v>
      </c>
      <c r="H58" s="178">
        <v>0</v>
      </c>
      <c r="I58" s="178">
        <v>0</v>
      </c>
      <c r="J58" s="178">
        <v>0</v>
      </c>
      <c r="K58" s="178">
        <f>IncomeSummary[[#This Row],[ BIBLE SOCIETY HARVEST]]</f>
        <v>0</v>
      </c>
      <c r="L58" s="178">
        <v>0</v>
      </c>
      <c r="M58" s="178">
        <v>0</v>
      </c>
      <c r="N58" s="178">
        <v>0</v>
      </c>
      <c r="O58" s="178">
        <v>0</v>
      </c>
      <c r="P58" s="178">
        <v>0</v>
      </c>
      <c r="Q58" s="178">
        <v>0</v>
      </c>
      <c r="R58" s="178"/>
      <c r="S58" s="178">
        <v>0</v>
      </c>
      <c r="T58" s="178">
        <v>0</v>
      </c>
      <c r="U58" s="178">
        <f>IncomeSummary[[#This Row],[ANNUAL HARVEST]]</f>
        <v>0</v>
      </c>
      <c r="V58" s="178"/>
      <c r="W58" s="178">
        <v>0</v>
      </c>
      <c r="X58" s="178">
        <v>0</v>
      </c>
      <c r="Y58" s="180">
        <f>SUM(WeeklyIncome[[#This Row],[TITHE]:[RENT]])</f>
        <v>1051</v>
      </c>
    </row>
    <row r="59" spans="1:25" hidden="1" x14ac:dyDescent="0.25">
      <c r="A59" s="177">
        <f t="shared" si="0"/>
        <v>44604</v>
      </c>
      <c r="B59" s="180">
        <f>IncomeSummary[[#This Row],[TITHE]]</f>
        <v>203</v>
      </c>
      <c r="C59" s="180">
        <f>IncomeSummary[[#This Row],[SYSTEMATIC OFFERING]]</f>
        <v>61</v>
      </c>
      <c r="D59" s="180">
        <f>IncomeSummary[[#This Row],[THANKS OFFERING]]</f>
        <v>15</v>
      </c>
      <c r="E59" s="180">
        <f>IncomeSummary[[#This Row],[LOOSE OFFERING]]</f>
        <v>50</v>
      </c>
      <c r="F59" s="180">
        <f>IncomeSummary[[#This Row],[SABBATH SCHOOL OFFERING]]</f>
        <v>111</v>
      </c>
      <c r="G59" s="180">
        <f>IncomeSummary[[#This Row],[WELFARE]]</f>
        <v>145</v>
      </c>
      <c r="H59" s="178">
        <v>0</v>
      </c>
      <c r="I59" s="178">
        <v>0</v>
      </c>
      <c r="J59" s="178">
        <v>0</v>
      </c>
      <c r="K59" s="178">
        <f>IncomeSummary[[#This Row],[ BIBLE SOCIETY HARVEST]]</f>
        <v>0</v>
      </c>
      <c r="L59" s="178">
        <v>0</v>
      </c>
      <c r="M59" s="178">
        <v>0</v>
      </c>
      <c r="N59" s="178">
        <v>0</v>
      </c>
      <c r="O59" s="178">
        <v>0</v>
      </c>
      <c r="P59" s="178">
        <v>0</v>
      </c>
      <c r="Q59" s="178">
        <v>0</v>
      </c>
      <c r="R59" s="178"/>
      <c r="S59" s="178">
        <v>0</v>
      </c>
      <c r="T59" s="178">
        <v>0</v>
      </c>
      <c r="U59" s="178">
        <f>IncomeSummary[[#This Row],[ANNUAL HARVEST]]</f>
        <v>0</v>
      </c>
      <c r="V59" s="178"/>
      <c r="W59" s="178">
        <v>0</v>
      </c>
      <c r="X59" s="178">
        <v>0</v>
      </c>
      <c r="Y59" s="180">
        <f>SUM(WeeklyIncome[[#This Row],[TITHE]:[RENT]])</f>
        <v>585</v>
      </c>
    </row>
    <row r="60" spans="1:25" hidden="1" x14ac:dyDescent="0.25">
      <c r="A60" s="177">
        <f t="shared" si="0"/>
        <v>44611</v>
      </c>
      <c r="B60" s="180">
        <f>IncomeSummary[[#This Row],[TITHE]]</f>
        <v>336</v>
      </c>
      <c r="C60" s="180">
        <f>IncomeSummary[[#This Row],[SYSTEMATIC OFFERING]]</f>
        <v>226</v>
      </c>
      <c r="D60" s="180">
        <f>IncomeSummary[[#This Row],[THANKS OFFERING]]</f>
        <v>10</v>
      </c>
      <c r="E60" s="180">
        <f>IncomeSummary[[#This Row],[LOOSE OFFERING]]</f>
        <v>37</v>
      </c>
      <c r="F60" s="180">
        <f>IncomeSummary[[#This Row],[SABBATH SCHOOL OFFERING]]</f>
        <v>72</v>
      </c>
      <c r="G60" s="180">
        <f>IncomeSummary[[#This Row],[WELFARE]]</f>
        <v>354</v>
      </c>
      <c r="H60" s="178">
        <v>0</v>
      </c>
      <c r="I60" s="178">
        <v>0</v>
      </c>
      <c r="J60" s="178">
        <v>0</v>
      </c>
      <c r="K60" s="178">
        <f>IncomeSummary[[#This Row],[ BIBLE SOCIETY HARVEST]]</f>
        <v>0</v>
      </c>
      <c r="L60" s="178">
        <v>0</v>
      </c>
      <c r="M60" s="178">
        <v>0</v>
      </c>
      <c r="N60" s="178">
        <v>0</v>
      </c>
      <c r="O60" s="178">
        <v>0</v>
      </c>
      <c r="P60" s="178">
        <v>0</v>
      </c>
      <c r="Q60" s="178">
        <v>0</v>
      </c>
      <c r="R60" s="178"/>
      <c r="S60" s="178">
        <v>0</v>
      </c>
      <c r="T60" s="178">
        <v>0</v>
      </c>
      <c r="U60" s="178">
        <f>IncomeSummary[[#This Row],[ANNUAL HARVEST]]</f>
        <v>0</v>
      </c>
      <c r="V60" s="178"/>
      <c r="W60" s="178">
        <v>0</v>
      </c>
      <c r="X60" s="178">
        <v>0</v>
      </c>
      <c r="Y60" s="180">
        <f>SUM(WeeklyIncome[[#This Row],[TITHE]:[RENT]])</f>
        <v>1035</v>
      </c>
    </row>
    <row r="61" spans="1:25" hidden="1" x14ac:dyDescent="0.25">
      <c r="A61" s="177">
        <f t="shared" si="0"/>
        <v>44618</v>
      </c>
      <c r="B61" s="180">
        <f>IncomeSummary[[#This Row],[TITHE]]</f>
        <v>327</v>
      </c>
      <c r="C61" s="180">
        <f>IncomeSummary[[#This Row],[SYSTEMATIC OFFERING]]</f>
        <v>233</v>
      </c>
      <c r="D61" s="180">
        <f>IncomeSummary[[#This Row],[THANKS OFFERING]]</f>
        <v>40</v>
      </c>
      <c r="E61" s="180">
        <f>IncomeSummary[[#This Row],[LOOSE OFFERING]]</f>
        <v>21</v>
      </c>
      <c r="F61" s="180">
        <f>IncomeSummary[[#This Row],[SABBATH SCHOOL OFFERING]]</f>
        <v>175</v>
      </c>
      <c r="G61" s="180">
        <f>IncomeSummary[[#This Row],[WELFARE]]</f>
        <v>404</v>
      </c>
      <c r="H61" s="178">
        <v>0</v>
      </c>
      <c r="I61" s="178">
        <v>0</v>
      </c>
      <c r="J61" s="178">
        <v>0</v>
      </c>
      <c r="K61" s="178">
        <f>IncomeSummary[[#This Row],[ BIBLE SOCIETY HARVEST]]</f>
        <v>0</v>
      </c>
      <c r="L61" s="178">
        <v>0</v>
      </c>
      <c r="M61" s="178">
        <v>0</v>
      </c>
      <c r="N61" s="178">
        <v>0</v>
      </c>
      <c r="O61" s="178">
        <v>0</v>
      </c>
      <c r="P61" s="178">
        <v>0</v>
      </c>
      <c r="Q61" s="178">
        <v>0</v>
      </c>
      <c r="R61" s="178"/>
      <c r="S61" s="178">
        <v>0</v>
      </c>
      <c r="T61" s="178">
        <v>0</v>
      </c>
      <c r="U61" s="178">
        <f>IncomeSummary[[#This Row],[ANNUAL HARVEST]]</f>
        <v>0</v>
      </c>
      <c r="V61" s="178"/>
      <c r="W61" s="178">
        <v>0</v>
      </c>
      <c r="X61" s="178">
        <v>0</v>
      </c>
      <c r="Y61" s="180">
        <f>SUM(WeeklyIncome[[#This Row],[TITHE]:[RENT]])</f>
        <v>1200</v>
      </c>
    </row>
    <row r="62" spans="1:25" hidden="1" x14ac:dyDescent="0.25">
      <c r="A62" s="177">
        <f t="shared" si="0"/>
        <v>44625</v>
      </c>
      <c r="B62" s="180">
        <f>IncomeSummary[[#This Row],[TITHE]]</f>
        <v>328</v>
      </c>
      <c r="C62" s="180">
        <f>IncomeSummary[[#This Row],[SYSTEMATIC OFFERING]]</f>
        <v>201</v>
      </c>
      <c r="D62" s="180">
        <f>IncomeSummary[[#This Row],[THANKS OFFERING]]</f>
        <v>54</v>
      </c>
      <c r="E62" s="180">
        <f>IncomeSummary[[#This Row],[LOOSE OFFERING]]</f>
        <v>46</v>
      </c>
      <c r="F62" s="180">
        <f>IncomeSummary[[#This Row],[SABBATH SCHOOL OFFERING]]</f>
        <v>200</v>
      </c>
      <c r="G62" s="180">
        <f>IncomeSummary[[#This Row],[WELFARE]]</f>
        <v>456</v>
      </c>
      <c r="H62" s="178">
        <v>0</v>
      </c>
      <c r="I62" s="178">
        <v>0</v>
      </c>
      <c r="J62" s="178">
        <v>0</v>
      </c>
      <c r="K62" s="178">
        <f>IncomeSummary[[#This Row],[ BIBLE SOCIETY HARVEST]]</f>
        <v>0</v>
      </c>
      <c r="L62" s="178">
        <v>0</v>
      </c>
      <c r="M62" s="178">
        <v>0</v>
      </c>
      <c r="N62" s="178">
        <v>0</v>
      </c>
      <c r="O62" s="178">
        <v>0</v>
      </c>
      <c r="P62" s="178">
        <v>133</v>
      </c>
      <c r="Q62" s="178">
        <v>0</v>
      </c>
      <c r="R62" s="178"/>
      <c r="S62" s="178">
        <v>0</v>
      </c>
      <c r="T62" s="178">
        <v>0</v>
      </c>
      <c r="U62" s="178">
        <f>IncomeSummary[[#This Row],[ANNUAL HARVEST]]</f>
        <v>0</v>
      </c>
      <c r="V62" s="178"/>
      <c r="W62" s="178">
        <v>0</v>
      </c>
      <c r="X62" s="178">
        <v>0</v>
      </c>
      <c r="Y62" s="180">
        <f>SUM(WeeklyIncome[[#This Row],[TITHE]:[RENT]])</f>
        <v>1418</v>
      </c>
    </row>
    <row r="63" spans="1:25" hidden="1" x14ac:dyDescent="0.25">
      <c r="A63" s="177">
        <f t="shared" si="0"/>
        <v>44632</v>
      </c>
      <c r="B63" s="180">
        <f>IncomeSummary[[#This Row],[TITHE]]</f>
        <v>0</v>
      </c>
      <c r="C63" s="180">
        <f>IncomeSummary[[#This Row],[SYSTEMATIC OFFERING]]</f>
        <v>0</v>
      </c>
      <c r="D63" s="180">
        <f>IncomeSummary[[#This Row],[THANKS OFFERING]]</f>
        <v>0</v>
      </c>
      <c r="E63" s="180">
        <f>IncomeSummary[[#This Row],[LOOSE OFFERING]]</f>
        <v>0</v>
      </c>
      <c r="F63" s="180">
        <f>IncomeSummary[[#This Row],[SABBATH SCHOOL OFFERING]]</f>
        <v>0</v>
      </c>
      <c r="G63" s="180">
        <f>IncomeSummary[[#This Row],[WELFARE]]</f>
        <v>0</v>
      </c>
      <c r="H63" s="178">
        <v>0</v>
      </c>
      <c r="I63" s="178">
        <v>0</v>
      </c>
      <c r="J63" s="178">
        <v>0</v>
      </c>
      <c r="K63" s="178">
        <f>IncomeSummary[[#This Row],[ BIBLE SOCIETY HARVEST]]</f>
        <v>0</v>
      </c>
      <c r="L63" s="178">
        <v>0</v>
      </c>
      <c r="M63" s="178">
        <v>0</v>
      </c>
      <c r="N63" s="178">
        <v>0</v>
      </c>
      <c r="O63" s="178">
        <v>0</v>
      </c>
      <c r="P63" s="178">
        <v>0</v>
      </c>
      <c r="Q63" s="178">
        <v>0</v>
      </c>
      <c r="R63" s="178"/>
      <c r="S63" s="178">
        <v>0</v>
      </c>
      <c r="T63" s="178">
        <v>0</v>
      </c>
      <c r="U63" s="178">
        <f>IncomeSummary[[#This Row],[ANNUAL HARVEST]]</f>
        <v>0</v>
      </c>
      <c r="V63" s="178"/>
      <c r="W63" s="178">
        <v>0</v>
      </c>
      <c r="X63" s="178">
        <v>0</v>
      </c>
      <c r="Y63" s="180">
        <f>SUM(WeeklyIncome[[#This Row],[TITHE]:[RENT]])</f>
        <v>0</v>
      </c>
    </row>
    <row r="64" spans="1:25" hidden="1" x14ac:dyDescent="0.25">
      <c r="A64" s="177">
        <f t="shared" si="0"/>
        <v>44639</v>
      </c>
      <c r="B64" s="180">
        <f>IncomeSummary[[#This Row],[TITHE]]</f>
        <v>384</v>
      </c>
      <c r="C64" s="180">
        <f>IncomeSummary[[#This Row],[SYSTEMATIC OFFERING]]</f>
        <v>271</v>
      </c>
      <c r="D64" s="180">
        <f>IncomeSummary[[#This Row],[THANKS OFFERING]]</f>
        <v>105</v>
      </c>
      <c r="E64" s="180">
        <f>IncomeSummary[[#This Row],[LOOSE OFFERING]]</f>
        <v>92</v>
      </c>
      <c r="F64" s="180">
        <f>IncomeSummary[[#This Row],[SABBATH SCHOOL OFFERING]]</f>
        <v>231</v>
      </c>
      <c r="G64" s="180">
        <f>IncomeSummary[[#This Row],[WELFARE]]</f>
        <v>528</v>
      </c>
      <c r="H64" s="178">
        <v>0</v>
      </c>
      <c r="I64" s="178">
        <v>0</v>
      </c>
      <c r="J64" s="178">
        <v>0</v>
      </c>
      <c r="K64" s="178">
        <f>IncomeSummary[[#This Row],[ BIBLE SOCIETY HARVEST]]</f>
        <v>0</v>
      </c>
      <c r="L64" s="178">
        <v>0</v>
      </c>
      <c r="M64" s="178">
        <v>0</v>
      </c>
      <c r="N64" s="178">
        <v>0</v>
      </c>
      <c r="O64" s="178">
        <v>0</v>
      </c>
      <c r="P64" s="178">
        <v>0</v>
      </c>
      <c r="Q64" s="178">
        <v>0</v>
      </c>
      <c r="R64" s="178"/>
      <c r="S64" s="178">
        <v>0</v>
      </c>
      <c r="T64" s="178">
        <v>0</v>
      </c>
      <c r="U64" s="178">
        <f>IncomeSummary[[#This Row],[ANNUAL HARVEST]]</f>
        <v>0</v>
      </c>
      <c r="V64" s="178"/>
      <c r="W64" s="178">
        <v>0</v>
      </c>
      <c r="X64" s="178">
        <v>0</v>
      </c>
      <c r="Y64" s="180">
        <f>SUM(WeeklyIncome[[#This Row],[TITHE]:[RENT]])</f>
        <v>1611</v>
      </c>
    </row>
    <row r="65" spans="1:25" hidden="1" x14ac:dyDescent="0.25">
      <c r="A65" s="177">
        <f t="shared" si="0"/>
        <v>44646</v>
      </c>
      <c r="B65" s="180">
        <f>IncomeSummary[[#This Row],[TITHE]]</f>
        <v>311</v>
      </c>
      <c r="C65" s="182">
        <f>IncomeSummary[[#This Row],[SYSTEMATIC OFFERING]]</f>
        <v>193</v>
      </c>
      <c r="D65" s="180">
        <f>IncomeSummary[[#This Row],[THANKS OFFERING]]</f>
        <v>50</v>
      </c>
      <c r="E65" s="180">
        <f>IncomeSummary[[#This Row],[LOOSE OFFERING]]</f>
        <v>60</v>
      </c>
      <c r="F65" s="180">
        <f>IncomeSummary[[#This Row],[SABBATH SCHOOL OFFERING]]</f>
        <v>182</v>
      </c>
      <c r="G65" s="180">
        <f>IncomeSummary[[#This Row],[WELFARE]]</f>
        <v>250</v>
      </c>
      <c r="H65" s="178">
        <v>0</v>
      </c>
      <c r="I65" s="178">
        <v>1000</v>
      </c>
      <c r="J65" s="178">
        <v>0</v>
      </c>
      <c r="K65" s="178">
        <f>IncomeSummary[[#This Row],[ BIBLE SOCIETY HARVEST]]</f>
        <v>0</v>
      </c>
      <c r="L65" s="178">
        <v>0</v>
      </c>
      <c r="M65" s="178">
        <v>0</v>
      </c>
      <c r="N65" s="178">
        <v>0</v>
      </c>
      <c r="O65" s="178">
        <v>0</v>
      </c>
      <c r="P65" s="178">
        <v>0</v>
      </c>
      <c r="Q65" s="178">
        <v>0</v>
      </c>
      <c r="R65" s="178"/>
      <c r="S65" s="178">
        <v>0</v>
      </c>
      <c r="T65" s="178">
        <v>0</v>
      </c>
      <c r="U65" s="178">
        <f>IncomeSummary[[#This Row],[ANNUAL HARVEST]]</f>
        <v>0</v>
      </c>
      <c r="V65" s="178"/>
      <c r="W65" s="178">
        <v>0</v>
      </c>
      <c r="X65" s="178">
        <v>0</v>
      </c>
      <c r="Y65" s="180">
        <f>SUM(WeeklyIncome[[#This Row],[TITHE]:[RENT]])</f>
        <v>2046</v>
      </c>
    </row>
    <row r="66" spans="1:25" hidden="1" x14ac:dyDescent="0.25">
      <c r="A66" s="177">
        <f t="shared" si="0"/>
        <v>44653</v>
      </c>
      <c r="B66" s="180">
        <f>IncomeSummary[[#This Row],[TITHE]]</f>
        <v>247</v>
      </c>
      <c r="C66" s="180">
        <f>IncomeSummary[[#This Row],[SYSTEMATIC OFFERING]]</f>
        <v>179</v>
      </c>
      <c r="D66" s="180">
        <f>IncomeSummary[[#This Row],[THANKS OFFERING]]</f>
        <v>17</v>
      </c>
      <c r="E66" s="180">
        <f>IncomeSummary[[#This Row],[LOOSE OFFERING]]</f>
        <v>76</v>
      </c>
      <c r="F66" s="180">
        <f>IncomeSummary[[#This Row],[SABBATH SCHOOL OFFERING]]</f>
        <v>177.5</v>
      </c>
      <c r="G66" s="180">
        <f>IncomeSummary[[#This Row],[WELFARE]]</f>
        <v>445</v>
      </c>
      <c r="H66" s="178">
        <v>0</v>
      </c>
      <c r="I66" s="178">
        <v>0</v>
      </c>
      <c r="J66" s="178">
        <v>0</v>
      </c>
      <c r="K66" s="178">
        <f>IncomeSummary[[#This Row],[ BIBLE SOCIETY HARVEST]]</f>
        <v>0</v>
      </c>
      <c r="L66" s="178">
        <v>0</v>
      </c>
      <c r="M66" s="178">
        <v>0</v>
      </c>
      <c r="N66" s="178">
        <v>0</v>
      </c>
      <c r="O66" s="178">
        <v>0</v>
      </c>
      <c r="P66" s="178">
        <v>0</v>
      </c>
      <c r="Q66" s="178">
        <v>0</v>
      </c>
      <c r="R66" s="178"/>
      <c r="S66" s="178">
        <v>0</v>
      </c>
      <c r="T66" s="178">
        <v>0</v>
      </c>
      <c r="U66" s="178">
        <f>IncomeSummary[[#This Row],[ANNUAL HARVEST]]</f>
        <v>0</v>
      </c>
      <c r="V66" s="178"/>
      <c r="W66" s="178">
        <v>0</v>
      </c>
      <c r="X66" s="178">
        <v>0</v>
      </c>
      <c r="Y66" s="180">
        <f>SUM(WeeklyIncome[[#This Row],[TITHE]:[RENT]])</f>
        <v>1141.5</v>
      </c>
    </row>
    <row r="67" spans="1:25" hidden="1" x14ac:dyDescent="0.25">
      <c r="A67" s="177">
        <f t="shared" si="0"/>
        <v>44660</v>
      </c>
      <c r="B67" s="180">
        <f>IncomeSummary[[#This Row],[TITHE]]</f>
        <v>151</v>
      </c>
      <c r="C67" s="180">
        <f>IncomeSummary[[#This Row],[SYSTEMATIC OFFERING]]</f>
        <v>128</v>
      </c>
      <c r="D67" s="180">
        <f>IncomeSummary[[#This Row],[THANKS OFFERING]]</f>
        <v>0</v>
      </c>
      <c r="E67" s="180">
        <f>IncomeSummary[[#This Row],[LOOSE OFFERING]]</f>
        <v>61</v>
      </c>
      <c r="F67" s="180">
        <f>IncomeSummary[[#This Row],[SABBATH SCHOOL OFFERING]]</f>
        <v>121.2</v>
      </c>
      <c r="G67" s="180">
        <f>IncomeSummary[[#This Row],[WELFARE]]</f>
        <v>301</v>
      </c>
      <c r="H67" s="178">
        <v>0</v>
      </c>
      <c r="I67" s="178">
        <v>0</v>
      </c>
      <c r="J67" s="178">
        <v>0</v>
      </c>
      <c r="K67" s="178">
        <f>IncomeSummary[[#This Row],[ BIBLE SOCIETY HARVEST]]</f>
        <v>0</v>
      </c>
      <c r="L67" s="178">
        <v>0</v>
      </c>
      <c r="M67" s="178">
        <v>0</v>
      </c>
      <c r="N67" s="178">
        <v>0</v>
      </c>
      <c r="O67" s="178">
        <v>30</v>
      </c>
      <c r="P67" s="178">
        <v>0</v>
      </c>
      <c r="Q67" s="178">
        <v>0</v>
      </c>
      <c r="R67" s="178"/>
      <c r="S67" s="178">
        <v>0</v>
      </c>
      <c r="T67" s="178">
        <v>0</v>
      </c>
      <c r="U67" s="178">
        <f>IncomeSummary[[#This Row],[ANNUAL HARVEST]]</f>
        <v>0</v>
      </c>
      <c r="V67" s="178"/>
      <c r="W67" s="178">
        <v>0</v>
      </c>
      <c r="X67" s="178">
        <v>60</v>
      </c>
      <c r="Y67" s="180">
        <f>SUM(WeeklyIncome[[#This Row],[TITHE]:[RENT]])</f>
        <v>852.2</v>
      </c>
    </row>
    <row r="68" spans="1:25" hidden="1" x14ac:dyDescent="0.25">
      <c r="A68" s="177">
        <f t="shared" ref="A68:A92" si="1">DATE(YEAR(A67),MONTH(A67),DAY(A67)+7)</f>
        <v>44667</v>
      </c>
      <c r="B68" s="180">
        <f>IncomeSummary[[#This Row],[TITHE]]</f>
        <v>223</v>
      </c>
      <c r="C68" s="180">
        <f>IncomeSummary[[#This Row],[SYSTEMATIC OFFERING]]</f>
        <v>203</v>
      </c>
      <c r="D68" s="180">
        <f>IncomeSummary[[#This Row],[THANKS OFFERING]]</f>
        <v>30</v>
      </c>
      <c r="E68" s="180">
        <f>IncomeSummary[[#This Row],[LOOSE OFFERING]]</f>
        <v>84</v>
      </c>
      <c r="F68" s="180">
        <f>IncomeSummary[[#This Row],[SABBATH SCHOOL OFFERING]]</f>
        <v>421</v>
      </c>
      <c r="G68" s="180">
        <f>IncomeSummary[[#This Row],[WELFARE]]</f>
        <v>261</v>
      </c>
      <c r="H68" s="178">
        <v>0</v>
      </c>
      <c r="I68" s="178">
        <v>0</v>
      </c>
      <c r="J68" s="178">
        <v>0</v>
      </c>
      <c r="K68" s="178">
        <f>IncomeSummary[[#This Row],[ BIBLE SOCIETY HARVEST]]</f>
        <v>0</v>
      </c>
      <c r="L68" s="178">
        <v>0</v>
      </c>
      <c r="M68" s="178">
        <v>0</v>
      </c>
      <c r="N68" s="178">
        <v>0</v>
      </c>
      <c r="O68" s="178">
        <v>0</v>
      </c>
      <c r="P68" s="178">
        <v>0</v>
      </c>
      <c r="Q68" s="178">
        <v>0</v>
      </c>
      <c r="R68" s="178"/>
      <c r="S68" s="178">
        <v>0</v>
      </c>
      <c r="T68" s="178">
        <v>0</v>
      </c>
      <c r="U68" s="178">
        <f>IncomeSummary[[#This Row],[ANNUAL HARVEST]]</f>
        <v>0</v>
      </c>
      <c r="V68" s="178"/>
      <c r="W68" s="178">
        <v>0</v>
      </c>
      <c r="X68" s="178">
        <v>0</v>
      </c>
      <c r="Y68" s="180">
        <f>SUM(WeeklyIncome[[#This Row],[TITHE]:[RENT]])</f>
        <v>1222</v>
      </c>
    </row>
    <row r="69" spans="1:25" hidden="1" x14ac:dyDescent="0.25">
      <c r="A69" s="177">
        <f t="shared" si="1"/>
        <v>44674</v>
      </c>
      <c r="B69" s="180">
        <f>IncomeSummary[[#This Row],[TITHE]]</f>
        <v>208</v>
      </c>
      <c r="C69" s="180">
        <f>IncomeSummary[[#This Row],[SYSTEMATIC OFFERING]]</f>
        <v>77</v>
      </c>
      <c r="D69" s="180">
        <f>IncomeSummary[[#This Row],[THANKS OFFERING]]</f>
        <v>15</v>
      </c>
      <c r="E69" s="180">
        <f>IncomeSummary[[#This Row],[LOOSE OFFERING]]</f>
        <v>0</v>
      </c>
      <c r="F69" s="180">
        <f>IncomeSummary[[#This Row],[SABBATH SCHOOL OFFERING]]</f>
        <v>91.7</v>
      </c>
      <c r="G69" s="180">
        <f>IncomeSummary[[#This Row],[WELFARE]]</f>
        <v>676</v>
      </c>
      <c r="H69" s="178">
        <v>0</v>
      </c>
      <c r="I69" s="178">
        <v>0</v>
      </c>
      <c r="J69" s="178">
        <v>0</v>
      </c>
      <c r="K69" s="178">
        <f>IncomeSummary[[#This Row],[ BIBLE SOCIETY HARVEST]]</f>
        <v>0</v>
      </c>
      <c r="L69" s="178">
        <v>0</v>
      </c>
      <c r="M69" s="178">
        <v>0</v>
      </c>
      <c r="N69" s="178">
        <v>0</v>
      </c>
      <c r="O69" s="178">
        <v>0</v>
      </c>
      <c r="P69" s="178">
        <v>0</v>
      </c>
      <c r="Q69" s="178">
        <v>0</v>
      </c>
      <c r="R69" s="178"/>
      <c r="S69" s="178">
        <v>0</v>
      </c>
      <c r="T69" s="178">
        <v>153</v>
      </c>
      <c r="U69" s="178">
        <f>IncomeSummary[[#This Row],[ANNUAL HARVEST]]</f>
        <v>0</v>
      </c>
      <c r="V69" s="178"/>
      <c r="W69" s="178">
        <v>0</v>
      </c>
      <c r="X69" s="178">
        <v>0</v>
      </c>
      <c r="Y69" s="180">
        <f>SUM(WeeklyIncome[[#This Row],[TITHE]:[RENT]])</f>
        <v>1220.7</v>
      </c>
    </row>
    <row r="70" spans="1:25" hidden="1" x14ac:dyDescent="0.25">
      <c r="A70" s="177">
        <f t="shared" si="1"/>
        <v>44681</v>
      </c>
      <c r="B70" s="180">
        <f>IncomeSummary[[#This Row],[TITHE]]</f>
        <v>311</v>
      </c>
      <c r="C70" s="180">
        <f>IncomeSummary[[#This Row],[SYSTEMATIC OFFERING]]</f>
        <v>237</v>
      </c>
      <c r="D70" s="180">
        <f>IncomeSummary[[#This Row],[THANKS OFFERING]]</f>
        <v>50</v>
      </c>
      <c r="E70" s="180">
        <f>IncomeSummary[[#This Row],[LOOSE OFFERING]]</f>
        <v>123</v>
      </c>
      <c r="F70" s="180">
        <f>IncomeSummary[[#This Row],[SABBATH SCHOOL OFFERING]]</f>
        <v>400</v>
      </c>
      <c r="G70" s="180">
        <f>IncomeSummary[[#This Row],[WELFARE]]</f>
        <v>692</v>
      </c>
      <c r="H70" s="178">
        <v>0</v>
      </c>
      <c r="I70" s="178">
        <v>0</v>
      </c>
      <c r="J70" s="178">
        <v>0</v>
      </c>
      <c r="K70" s="178">
        <f>IncomeSummary[[#This Row],[ BIBLE SOCIETY HARVEST]]</f>
        <v>0</v>
      </c>
      <c r="L70" s="178">
        <v>0</v>
      </c>
      <c r="M70" s="178">
        <v>0</v>
      </c>
      <c r="N70" s="178">
        <v>0</v>
      </c>
      <c r="O70" s="178">
        <v>0</v>
      </c>
      <c r="P70" s="178">
        <v>0</v>
      </c>
      <c r="Q70" s="178">
        <v>0</v>
      </c>
      <c r="R70" s="178"/>
      <c r="S70" s="178">
        <v>0</v>
      </c>
      <c r="T70" s="178">
        <v>0</v>
      </c>
      <c r="U70" s="178">
        <f>IncomeSummary[[#This Row],[ANNUAL HARVEST]]</f>
        <v>0</v>
      </c>
      <c r="V70" s="178"/>
      <c r="W70" s="178">
        <v>0</v>
      </c>
      <c r="X70" s="178">
        <v>0</v>
      </c>
      <c r="Y70" s="180">
        <f>SUM(WeeklyIncome[[#This Row],[TITHE]:[RENT]])</f>
        <v>1813</v>
      </c>
    </row>
    <row r="71" spans="1:25" hidden="1" x14ac:dyDescent="0.25">
      <c r="A71" s="177">
        <f t="shared" si="1"/>
        <v>44688</v>
      </c>
      <c r="B71" s="180">
        <f>IncomeSummary[[#This Row],[TITHE]]</f>
        <v>282</v>
      </c>
      <c r="C71" s="180">
        <f>IncomeSummary[[#This Row],[SYSTEMATIC OFFERING]]</f>
        <v>176</v>
      </c>
      <c r="D71" s="180">
        <f>IncomeSummary[[#This Row],[THANKS OFFERING]]</f>
        <v>50</v>
      </c>
      <c r="E71" s="180">
        <f>IncomeSummary[[#This Row],[LOOSE OFFERING]]</f>
        <v>74</v>
      </c>
      <c r="F71" s="180">
        <f>IncomeSummary[[#This Row],[SABBATH SCHOOL OFFERING]]</f>
        <v>254</v>
      </c>
      <c r="G71" s="180">
        <f>IncomeSummary[[#This Row],[WELFARE]]</f>
        <v>463</v>
      </c>
      <c r="H71" s="178">
        <v>2800</v>
      </c>
      <c r="I71" s="178">
        <v>0</v>
      </c>
      <c r="J71" s="178">
        <v>0</v>
      </c>
      <c r="K71" s="178">
        <f>IncomeSummary[[#This Row],[ BIBLE SOCIETY HARVEST]]</f>
        <v>0</v>
      </c>
      <c r="L71" s="181">
        <v>3367.26</v>
      </c>
      <c r="M71" s="178">
        <v>0</v>
      </c>
      <c r="N71" s="178">
        <v>0</v>
      </c>
      <c r="O71" s="178">
        <v>0</v>
      </c>
      <c r="P71" s="178">
        <v>0</v>
      </c>
      <c r="Q71" s="178">
        <v>0</v>
      </c>
      <c r="R71" s="178"/>
      <c r="S71" s="178">
        <v>0</v>
      </c>
      <c r="T71" s="178">
        <v>0</v>
      </c>
      <c r="U71" s="178">
        <f>IncomeSummary[[#This Row],[ANNUAL HARVEST]]</f>
        <v>0</v>
      </c>
      <c r="V71" s="178"/>
      <c r="W71" s="178">
        <v>0</v>
      </c>
      <c r="X71" s="178">
        <v>20</v>
      </c>
      <c r="Y71" s="180">
        <f>SUM(WeeklyIncome[[#This Row],[TITHE]:[RENT]])</f>
        <v>7486.26</v>
      </c>
    </row>
    <row r="72" spans="1:25" hidden="1" x14ac:dyDescent="0.25">
      <c r="A72" s="177">
        <f t="shared" si="1"/>
        <v>44695</v>
      </c>
      <c r="B72" s="180">
        <f>IncomeSummary[[#This Row],[TITHE]]</f>
        <v>540</v>
      </c>
      <c r="C72" s="180">
        <f>IncomeSummary[[#This Row],[SYSTEMATIC OFFERING]]</f>
        <v>375</v>
      </c>
      <c r="D72" s="180">
        <f>IncomeSummary[[#This Row],[THANKS OFFERING]]</f>
        <v>10</v>
      </c>
      <c r="E72" s="180">
        <f>IncomeSummary[[#This Row],[LOOSE OFFERING]]</f>
        <v>40</v>
      </c>
      <c r="F72" s="180">
        <f>IncomeSummary[[#This Row],[SABBATH SCHOOL OFFERING]]</f>
        <v>142</v>
      </c>
      <c r="G72" s="180">
        <f>IncomeSummary[[#This Row],[WELFARE]]</f>
        <v>172</v>
      </c>
      <c r="H72" s="178">
        <v>0</v>
      </c>
      <c r="I72" s="178">
        <v>0</v>
      </c>
      <c r="J72" s="178">
        <v>0</v>
      </c>
      <c r="K72" s="178">
        <f>IncomeSummary[[#This Row],[ BIBLE SOCIETY HARVEST]]</f>
        <v>0</v>
      </c>
      <c r="L72" s="178">
        <v>0</v>
      </c>
      <c r="M72" s="178">
        <v>0</v>
      </c>
      <c r="N72" s="178">
        <v>0</v>
      </c>
      <c r="O72" s="178">
        <v>0</v>
      </c>
      <c r="P72" s="178">
        <v>0</v>
      </c>
      <c r="Q72" s="178">
        <v>0</v>
      </c>
      <c r="R72" s="178"/>
      <c r="S72" s="178">
        <v>0</v>
      </c>
      <c r="T72" s="178">
        <v>0</v>
      </c>
      <c r="U72" s="178">
        <f>IncomeSummary[[#This Row],[ANNUAL HARVEST]]</f>
        <v>0</v>
      </c>
      <c r="V72" s="178"/>
      <c r="W72" s="178">
        <v>0</v>
      </c>
      <c r="X72" s="178">
        <v>40</v>
      </c>
      <c r="Y72" s="180">
        <f>SUM(WeeklyIncome[[#This Row],[TITHE]:[RENT]])</f>
        <v>1319</v>
      </c>
    </row>
    <row r="73" spans="1:25" hidden="1" x14ac:dyDescent="0.25">
      <c r="A73" s="177">
        <f t="shared" si="1"/>
        <v>44702</v>
      </c>
      <c r="B73" s="180">
        <f>IncomeSummary[[#This Row],[TITHE]]</f>
        <v>215</v>
      </c>
      <c r="C73" s="180">
        <f>IncomeSummary[[#This Row],[SYSTEMATIC OFFERING]]</f>
        <v>141</v>
      </c>
      <c r="D73" s="180">
        <f>IncomeSummary[[#This Row],[THANKS OFFERING]]</f>
        <v>5</v>
      </c>
      <c r="E73" s="180">
        <f>IncomeSummary[[#This Row],[LOOSE OFFERING]]</f>
        <v>30</v>
      </c>
      <c r="F73" s="180">
        <f>IncomeSummary[[#This Row],[SABBATH SCHOOL OFFERING]]</f>
        <v>271</v>
      </c>
      <c r="G73" s="180">
        <f>IncomeSummary[[#This Row],[WELFARE]]</f>
        <v>303</v>
      </c>
      <c r="H73" s="178">
        <v>0</v>
      </c>
      <c r="I73" s="178">
        <v>0</v>
      </c>
      <c r="J73" s="178">
        <v>0</v>
      </c>
      <c r="K73" s="178">
        <f>IncomeSummary[[#This Row],[ BIBLE SOCIETY HARVEST]]</f>
        <v>0</v>
      </c>
      <c r="L73" s="178">
        <v>0</v>
      </c>
      <c r="M73" s="178">
        <v>0</v>
      </c>
      <c r="N73" s="178">
        <v>0</v>
      </c>
      <c r="O73" s="178">
        <v>0</v>
      </c>
      <c r="P73" s="178">
        <v>0</v>
      </c>
      <c r="Q73" s="178">
        <v>0</v>
      </c>
      <c r="R73" s="178"/>
      <c r="S73" s="178">
        <v>0</v>
      </c>
      <c r="T73" s="178">
        <v>0</v>
      </c>
      <c r="U73" s="178">
        <f>IncomeSummary[[#This Row],[ANNUAL HARVEST]]</f>
        <v>0</v>
      </c>
      <c r="V73" s="178"/>
      <c r="W73" s="178">
        <v>0</v>
      </c>
      <c r="X73" s="178">
        <v>0</v>
      </c>
      <c r="Y73" s="180">
        <f>SUM(WeeklyIncome[[#This Row],[TITHE]:[RENT]])</f>
        <v>965</v>
      </c>
    </row>
    <row r="74" spans="1:25" hidden="1" x14ac:dyDescent="0.25">
      <c r="A74" s="177">
        <f t="shared" si="1"/>
        <v>44709</v>
      </c>
      <c r="B74" s="180">
        <f>IncomeSummary[[#This Row],[TITHE]]</f>
        <v>209</v>
      </c>
      <c r="C74" s="180">
        <f>IncomeSummary[[#This Row],[SYSTEMATIC OFFERING]]</f>
        <v>121</v>
      </c>
      <c r="D74" s="180">
        <f>IncomeSummary[[#This Row],[THANKS OFFERING]]</f>
        <v>17</v>
      </c>
      <c r="E74" s="180">
        <f>IncomeSummary[[#This Row],[LOOSE OFFERING]]</f>
        <v>42</v>
      </c>
      <c r="F74" s="180">
        <f>IncomeSummary[[#This Row],[SABBATH SCHOOL OFFERING]]</f>
        <v>115.3</v>
      </c>
      <c r="G74" s="180">
        <f>IncomeSummary[[#This Row],[WELFARE]]</f>
        <v>185</v>
      </c>
      <c r="H74" s="178">
        <v>0</v>
      </c>
      <c r="I74" s="178">
        <v>0</v>
      </c>
      <c r="J74" s="178">
        <v>0</v>
      </c>
      <c r="K74" s="178">
        <f>IncomeSummary[[#This Row],[ BIBLE SOCIETY HARVEST]]</f>
        <v>0</v>
      </c>
      <c r="L74" s="178">
        <v>0</v>
      </c>
      <c r="M74" s="178">
        <v>0</v>
      </c>
      <c r="N74" s="178">
        <v>0</v>
      </c>
      <c r="O74" s="178">
        <v>0</v>
      </c>
      <c r="P74" s="178">
        <v>0</v>
      </c>
      <c r="Q74" s="178">
        <v>0</v>
      </c>
      <c r="R74" s="178"/>
      <c r="S74" s="178">
        <v>0</v>
      </c>
      <c r="T74" s="178">
        <v>0</v>
      </c>
      <c r="U74" s="178">
        <f>IncomeSummary[[#This Row],[ANNUAL HARVEST]]</f>
        <v>0</v>
      </c>
      <c r="V74" s="178"/>
      <c r="W74" s="178">
        <v>0</v>
      </c>
      <c r="X74" s="178">
        <v>0</v>
      </c>
      <c r="Y74" s="180">
        <f>SUM(WeeklyIncome[[#This Row],[TITHE]:[RENT]])</f>
        <v>689.3</v>
      </c>
    </row>
    <row r="75" spans="1:25" hidden="1" x14ac:dyDescent="0.25">
      <c r="A75" s="177">
        <f t="shared" si="1"/>
        <v>44716</v>
      </c>
      <c r="B75" s="180">
        <f>IncomeSummary[[#This Row],[TITHE]]</f>
        <v>302</v>
      </c>
      <c r="C75" s="180">
        <f>IncomeSummary[[#This Row],[SYSTEMATIC OFFERING]]</f>
        <v>188</v>
      </c>
      <c r="D75" s="180">
        <f>IncomeSummary[[#This Row],[THANKS OFFERING]]</f>
        <v>135</v>
      </c>
      <c r="E75" s="180">
        <f>IncomeSummary[[#This Row],[LOOSE OFFERING]]</f>
        <v>82</v>
      </c>
      <c r="F75" s="180">
        <f>IncomeSummary[[#This Row],[SABBATH SCHOOL OFFERING]]</f>
        <v>418.3</v>
      </c>
      <c r="G75" s="180">
        <f>IncomeSummary[[#This Row],[WELFARE]]</f>
        <v>229</v>
      </c>
      <c r="H75" s="178">
        <v>0</v>
      </c>
      <c r="I75" s="178">
        <v>0</v>
      </c>
      <c r="J75" s="178">
        <v>0</v>
      </c>
      <c r="K75" s="178">
        <f>IncomeSummary[[#This Row],[ BIBLE SOCIETY HARVEST]]</f>
        <v>0</v>
      </c>
      <c r="L75" s="178">
        <v>200</v>
      </c>
      <c r="M75" s="178">
        <v>0</v>
      </c>
      <c r="N75" s="178">
        <v>0</v>
      </c>
      <c r="O75" s="178">
        <v>0</v>
      </c>
      <c r="P75" s="178">
        <v>0</v>
      </c>
      <c r="Q75" s="178">
        <v>0</v>
      </c>
      <c r="R75" s="178"/>
      <c r="S75" s="178">
        <v>0</v>
      </c>
      <c r="T75" s="178">
        <v>0</v>
      </c>
      <c r="U75" s="178">
        <f>IncomeSummary[[#This Row],[ANNUAL HARVEST]]</f>
        <v>0</v>
      </c>
      <c r="V75" s="178"/>
      <c r="W75" s="178">
        <v>0</v>
      </c>
      <c r="X75" s="178">
        <v>60</v>
      </c>
      <c r="Y75" s="180">
        <f>SUM(WeeklyIncome[[#This Row],[TITHE]:[RENT]])</f>
        <v>1614.3</v>
      </c>
    </row>
    <row r="76" spans="1:25" hidden="1" x14ac:dyDescent="0.25">
      <c r="A76" s="177">
        <f t="shared" si="1"/>
        <v>44723</v>
      </c>
      <c r="B76" s="180">
        <f>IncomeSummary[[#This Row],[TITHE]]</f>
        <v>155</v>
      </c>
      <c r="C76" s="180">
        <f>IncomeSummary[[#This Row],[SYSTEMATIC OFFERING]]</f>
        <v>113</v>
      </c>
      <c r="D76" s="180">
        <f>IncomeSummary[[#This Row],[THANKS OFFERING]]</f>
        <v>35</v>
      </c>
      <c r="E76" s="180">
        <f>IncomeSummary[[#This Row],[LOOSE OFFERING]]</f>
        <v>44</v>
      </c>
      <c r="F76" s="180">
        <f>IncomeSummary[[#This Row],[SABBATH SCHOOL OFFERING]]</f>
        <v>101.8</v>
      </c>
      <c r="G76" s="180">
        <f>IncomeSummary[[#This Row],[WELFARE]]</f>
        <v>285</v>
      </c>
      <c r="H76" s="178">
        <v>0</v>
      </c>
      <c r="I76" s="178">
        <v>0</v>
      </c>
      <c r="J76" s="178">
        <v>0</v>
      </c>
      <c r="K76" s="178">
        <f>IncomeSummary[[#This Row],[ BIBLE SOCIETY HARVEST]]</f>
        <v>0</v>
      </c>
      <c r="L76" s="178">
        <v>0</v>
      </c>
      <c r="M76" s="178">
        <v>0</v>
      </c>
      <c r="N76" s="178">
        <v>0</v>
      </c>
      <c r="O76" s="178">
        <v>0</v>
      </c>
      <c r="P76" s="178">
        <v>0</v>
      </c>
      <c r="Q76" s="178">
        <v>0</v>
      </c>
      <c r="R76" s="178"/>
      <c r="S76" s="178">
        <v>0</v>
      </c>
      <c r="T76" s="178">
        <v>0</v>
      </c>
      <c r="U76" s="178">
        <f>IncomeSummary[[#This Row],[ANNUAL HARVEST]]</f>
        <v>0</v>
      </c>
      <c r="V76" s="178"/>
      <c r="W76" s="178">
        <v>0</v>
      </c>
      <c r="X76" s="178">
        <v>0</v>
      </c>
      <c r="Y76" s="180">
        <f>SUM(WeeklyIncome[[#This Row],[TITHE]:[RENT]])</f>
        <v>733.8</v>
      </c>
    </row>
    <row r="77" spans="1:25" hidden="1" x14ac:dyDescent="0.25">
      <c r="A77" s="177">
        <f t="shared" si="1"/>
        <v>44730</v>
      </c>
      <c r="B77" s="180">
        <f>IncomeSummary[[#This Row],[TITHE]]</f>
        <v>433</v>
      </c>
      <c r="C77" s="180">
        <f>IncomeSummary[[#This Row],[SYSTEMATIC OFFERING]]</f>
        <v>178</v>
      </c>
      <c r="D77" s="180">
        <f>IncomeSummary[[#This Row],[THANKS OFFERING]]</f>
        <v>10</v>
      </c>
      <c r="E77" s="180">
        <f>IncomeSummary[[#This Row],[LOOSE OFFERING]]</f>
        <v>30</v>
      </c>
      <c r="F77" s="180">
        <f>IncomeSummary[[#This Row],[SABBATH SCHOOL OFFERING]]</f>
        <v>132.30000000000001</v>
      </c>
      <c r="G77" s="180">
        <f>IncomeSummary[[#This Row],[WELFARE]]</f>
        <v>274</v>
      </c>
      <c r="H77" s="178">
        <v>1860</v>
      </c>
      <c r="I77" s="178">
        <v>0</v>
      </c>
      <c r="J77" s="178">
        <v>0</v>
      </c>
      <c r="K77" s="178">
        <f>IncomeSummary[[#This Row],[ BIBLE SOCIETY HARVEST]]</f>
        <v>0</v>
      </c>
      <c r="L77" s="178">
        <v>0</v>
      </c>
      <c r="M77" s="178">
        <v>0</v>
      </c>
      <c r="N77" s="178">
        <v>0</v>
      </c>
      <c r="O77" s="178">
        <v>0</v>
      </c>
      <c r="P77" s="178">
        <v>0</v>
      </c>
      <c r="Q77" s="178">
        <v>0</v>
      </c>
      <c r="R77" s="178"/>
      <c r="S77" s="178">
        <v>0</v>
      </c>
      <c r="T77" s="178">
        <v>0</v>
      </c>
      <c r="U77" s="178">
        <f>IncomeSummary[[#This Row],[ANNUAL HARVEST]]</f>
        <v>0</v>
      </c>
      <c r="V77" s="178"/>
      <c r="W77" s="178">
        <v>0</v>
      </c>
      <c r="X77" s="178">
        <v>90</v>
      </c>
      <c r="Y77" s="180">
        <f>SUM(WeeklyIncome[[#This Row],[TITHE]:[RENT]])</f>
        <v>3007.3</v>
      </c>
    </row>
    <row r="78" spans="1:25" hidden="1" x14ac:dyDescent="0.25">
      <c r="A78" s="177">
        <f t="shared" si="1"/>
        <v>44737</v>
      </c>
      <c r="B78" s="180">
        <f>IncomeSummary[[#This Row],[TITHE]]</f>
        <v>457</v>
      </c>
      <c r="C78" s="180">
        <f>IncomeSummary[[#This Row],[SYSTEMATIC OFFERING]]</f>
        <v>171</v>
      </c>
      <c r="D78" s="180">
        <f>IncomeSummary[[#This Row],[THANKS OFFERING]]</f>
        <v>10</v>
      </c>
      <c r="E78" s="180">
        <f>IncomeSummary[[#This Row],[LOOSE OFFERING]]</f>
        <v>25</v>
      </c>
      <c r="F78" s="180">
        <f>IncomeSummary[[#This Row],[SABBATH SCHOOL OFFERING]]</f>
        <v>40.1</v>
      </c>
      <c r="G78" s="180">
        <f>IncomeSummary[[#This Row],[WELFARE]]</f>
        <v>173</v>
      </c>
      <c r="H78" s="178">
        <v>0</v>
      </c>
      <c r="I78" s="178">
        <v>0</v>
      </c>
      <c r="J78" s="178">
        <v>0</v>
      </c>
      <c r="K78" s="178">
        <f>IncomeSummary[[#This Row],[ BIBLE SOCIETY HARVEST]]</f>
        <v>0</v>
      </c>
      <c r="L78" s="178">
        <v>9220</v>
      </c>
      <c r="M78" s="178">
        <v>0</v>
      </c>
      <c r="N78" s="178">
        <v>0</v>
      </c>
      <c r="O78" s="178">
        <v>0</v>
      </c>
      <c r="P78" s="178">
        <v>0</v>
      </c>
      <c r="Q78" s="178">
        <v>0</v>
      </c>
      <c r="R78" s="178"/>
      <c r="S78" s="178">
        <v>0</v>
      </c>
      <c r="T78" s="178">
        <v>0</v>
      </c>
      <c r="U78" s="178">
        <f>IncomeSummary[[#This Row],[ANNUAL HARVEST]]</f>
        <v>0</v>
      </c>
      <c r="V78" s="178"/>
      <c r="W78" s="178">
        <v>0</v>
      </c>
      <c r="X78" s="178">
        <v>0</v>
      </c>
      <c r="Y78" s="180">
        <f>SUM(WeeklyIncome[[#This Row],[TITHE]:[RENT]])</f>
        <v>10096.1</v>
      </c>
    </row>
    <row r="79" spans="1:25" hidden="1" x14ac:dyDescent="0.25">
      <c r="A79" s="177">
        <f t="shared" si="1"/>
        <v>44744</v>
      </c>
      <c r="B79" s="180">
        <f>IncomeSummary[[#This Row],[TITHE]]</f>
        <v>330</v>
      </c>
      <c r="C79" s="180">
        <f>IncomeSummary[[#This Row],[SYSTEMATIC OFFERING]]</f>
        <v>342</v>
      </c>
      <c r="D79" s="180">
        <f>IncomeSummary[[#This Row],[THANKS OFFERING]]</f>
        <v>20</v>
      </c>
      <c r="E79" s="180">
        <f>IncomeSummary[[#This Row],[LOOSE OFFERING]]</f>
        <v>50</v>
      </c>
      <c r="F79" s="180">
        <f>IncomeSummary[[#This Row],[SABBATH SCHOOL OFFERING]]</f>
        <v>118.4</v>
      </c>
      <c r="G79" s="180">
        <f>IncomeSummary[[#This Row],[WELFARE]]</f>
        <v>433</v>
      </c>
      <c r="H79" s="178">
        <v>0</v>
      </c>
      <c r="I79" s="178">
        <v>0</v>
      </c>
      <c r="J79" s="178">
        <v>0</v>
      </c>
      <c r="K79" s="178">
        <f>IncomeSummary[[#This Row],[ BIBLE SOCIETY HARVEST]]</f>
        <v>0</v>
      </c>
      <c r="L79" s="178">
        <v>3000</v>
      </c>
      <c r="M79" s="178">
        <v>0</v>
      </c>
      <c r="N79" s="178">
        <v>0</v>
      </c>
      <c r="O79" s="178">
        <v>0</v>
      </c>
      <c r="P79" s="178">
        <v>0</v>
      </c>
      <c r="Q79" s="178">
        <v>0</v>
      </c>
      <c r="R79" s="178"/>
      <c r="S79" s="178">
        <v>30</v>
      </c>
      <c r="T79" s="178">
        <v>0</v>
      </c>
      <c r="U79" s="178">
        <f>IncomeSummary[[#This Row],[ANNUAL HARVEST]]</f>
        <v>0</v>
      </c>
      <c r="V79" s="178"/>
      <c r="W79" s="178">
        <v>0</v>
      </c>
      <c r="X79" s="178">
        <v>80</v>
      </c>
      <c r="Y79" s="180">
        <f>SUM(WeeklyIncome[[#This Row],[TITHE]:[RENT]])</f>
        <v>4403.3999999999996</v>
      </c>
    </row>
    <row r="80" spans="1:25" hidden="1" x14ac:dyDescent="0.25">
      <c r="A80" s="177">
        <f t="shared" si="1"/>
        <v>44751</v>
      </c>
      <c r="B80" s="180">
        <f>IncomeSummary[[#This Row],[TITHE]]</f>
        <v>222</v>
      </c>
      <c r="C80" s="180">
        <f>IncomeSummary[[#This Row],[SYSTEMATIC OFFERING]]</f>
        <v>132</v>
      </c>
      <c r="D80" s="180">
        <f>IncomeSummary[[#This Row],[THANKS OFFERING]]</f>
        <v>15</v>
      </c>
      <c r="E80" s="180">
        <f>IncomeSummary[[#This Row],[LOOSE OFFERING]]</f>
        <v>30</v>
      </c>
      <c r="F80" s="180">
        <f>IncomeSummary[[#This Row],[SABBATH SCHOOL OFFERING]]</f>
        <v>103.8</v>
      </c>
      <c r="G80" s="180">
        <f>IncomeSummary[[#This Row],[WELFARE]]</f>
        <v>225</v>
      </c>
      <c r="H80" s="178">
        <v>0</v>
      </c>
      <c r="I80" s="178">
        <v>0</v>
      </c>
      <c r="J80" s="178">
        <v>0</v>
      </c>
      <c r="K80" s="178">
        <f>IncomeSummary[[#This Row],[ BIBLE SOCIETY HARVEST]]</f>
        <v>0</v>
      </c>
      <c r="L80" s="178">
        <v>0</v>
      </c>
      <c r="M80" s="178">
        <v>0</v>
      </c>
      <c r="N80" s="178">
        <v>0</v>
      </c>
      <c r="O80" s="178">
        <v>0</v>
      </c>
      <c r="P80" s="178">
        <v>0</v>
      </c>
      <c r="Q80" s="178">
        <v>0</v>
      </c>
      <c r="R80" s="178"/>
      <c r="S80" s="178">
        <v>0</v>
      </c>
      <c r="T80" s="178">
        <v>0</v>
      </c>
      <c r="U80" s="178">
        <f>IncomeSummary[[#This Row],[ANNUAL HARVEST]]</f>
        <v>0</v>
      </c>
      <c r="V80" s="178"/>
      <c r="W80" s="178">
        <v>0</v>
      </c>
      <c r="X80" s="178">
        <v>0</v>
      </c>
      <c r="Y80" s="180">
        <f>SUM(WeeklyIncome[[#This Row],[TITHE]:[RENT]])</f>
        <v>727.8</v>
      </c>
    </row>
    <row r="81" spans="1:25" hidden="1" x14ac:dyDescent="0.25">
      <c r="A81" s="177">
        <f t="shared" si="1"/>
        <v>44758</v>
      </c>
      <c r="B81" s="180">
        <f>IncomeSummary[[#This Row],[TITHE]]</f>
        <v>213</v>
      </c>
      <c r="C81" s="180">
        <f>IncomeSummary[[#This Row],[SYSTEMATIC OFFERING]]</f>
        <v>98</v>
      </c>
      <c r="D81" s="180">
        <f>IncomeSummary[[#This Row],[THANKS OFFERING]]</f>
        <v>10</v>
      </c>
      <c r="E81" s="180">
        <f>IncomeSummary[[#This Row],[LOOSE OFFERING]]</f>
        <v>35</v>
      </c>
      <c r="F81" s="180">
        <f>IncomeSummary[[#This Row],[SABBATH SCHOOL OFFERING]]</f>
        <v>114</v>
      </c>
      <c r="G81" s="180">
        <f>IncomeSummary[[#This Row],[WELFARE]]</f>
        <v>91</v>
      </c>
      <c r="H81" s="178">
        <v>0</v>
      </c>
      <c r="I81" s="178">
        <v>0</v>
      </c>
      <c r="J81" s="178">
        <v>0</v>
      </c>
      <c r="K81" s="178">
        <f>IncomeSummary[[#This Row],[ BIBLE SOCIETY HARVEST]]</f>
        <v>0</v>
      </c>
      <c r="L81" s="178">
        <v>0</v>
      </c>
      <c r="M81" s="178">
        <v>0</v>
      </c>
      <c r="N81" s="178">
        <v>0</v>
      </c>
      <c r="O81" s="178">
        <v>0</v>
      </c>
      <c r="P81" s="178">
        <v>0</v>
      </c>
      <c r="Q81" s="178">
        <v>0</v>
      </c>
      <c r="R81" s="178"/>
      <c r="S81" s="178">
        <v>0</v>
      </c>
      <c r="T81" s="178">
        <v>0</v>
      </c>
      <c r="U81" s="178">
        <f>IncomeSummary[[#This Row],[ANNUAL HARVEST]]</f>
        <v>0</v>
      </c>
      <c r="V81" s="178"/>
      <c r="W81" s="178">
        <v>0</v>
      </c>
      <c r="X81" s="178">
        <v>0</v>
      </c>
      <c r="Y81" s="180">
        <f>SUM(WeeklyIncome[[#This Row],[TITHE]:[RENT]])</f>
        <v>561</v>
      </c>
    </row>
    <row r="82" spans="1:25" hidden="1" x14ac:dyDescent="0.25">
      <c r="A82" s="177">
        <f t="shared" si="1"/>
        <v>44765</v>
      </c>
      <c r="B82" s="180">
        <f>IncomeSummary[[#This Row],[TITHE]]</f>
        <v>493</v>
      </c>
      <c r="C82" s="180">
        <f>IncomeSummary[[#This Row],[SYSTEMATIC OFFERING]]</f>
        <v>254</v>
      </c>
      <c r="D82" s="180">
        <f>IncomeSummary[[#This Row],[THANKS OFFERING]]</f>
        <v>50</v>
      </c>
      <c r="E82" s="180">
        <f>IncomeSummary[[#This Row],[LOOSE OFFERING]]</f>
        <v>55</v>
      </c>
      <c r="F82" s="180">
        <f>IncomeSummary[[#This Row],[SABBATH SCHOOL OFFERING]]</f>
        <v>178</v>
      </c>
      <c r="G82" s="180">
        <f>IncomeSummary[[#This Row],[WELFARE]]</f>
        <v>180</v>
      </c>
      <c r="H82" s="178">
        <v>0</v>
      </c>
      <c r="I82" s="178">
        <v>0</v>
      </c>
      <c r="J82" s="178">
        <v>0</v>
      </c>
      <c r="K82" s="178">
        <f>IncomeSummary[[#This Row],[ BIBLE SOCIETY HARVEST]]</f>
        <v>0</v>
      </c>
      <c r="L82" s="178">
        <v>0</v>
      </c>
      <c r="M82" s="178">
        <v>0</v>
      </c>
      <c r="N82" s="178">
        <v>0</v>
      </c>
      <c r="O82" s="178">
        <v>0</v>
      </c>
      <c r="P82" s="178">
        <v>0</v>
      </c>
      <c r="Q82" s="178">
        <v>0</v>
      </c>
      <c r="R82" s="178"/>
      <c r="S82" s="178">
        <v>0</v>
      </c>
      <c r="T82" s="178">
        <v>0</v>
      </c>
      <c r="U82" s="178">
        <f>IncomeSummary[[#This Row],[ANNUAL HARVEST]]</f>
        <v>0</v>
      </c>
      <c r="V82" s="178"/>
      <c r="W82" s="178">
        <v>0</v>
      </c>
      <c r="X82" s="178">
        <v>0</v>
      </c>
      <c r="Y82" s="180">
        <f>SUM(WeeklyIncome[[#This Row],[TITHE]:[RENT]])</f>
        <v>1210</v>
      </c>
    </row>
    <row r="83" spans="1:25" hidden="1" x14ac:dyDescent="0.25">
      <c r="A83" s="177">
        <f t="shared" si="1"/>
        <v>44772</v>
      </c>
      <c r="B83" s="180">
        <f>IncomeSummary[[#This Row],[TITHE]]</f>
        <v>499</v>
      </c>
      <c r="C83" s="180">
        <f>IncomeSummary[[#This Row],[SYSTEMATIC OFFERING]]</f>
        <v>241</v>
      </c>
      <c r="D83" s="180">
        <f>IncomeSummary[[#This Row],[THANKS OFFERING]]</f>
        <v>20</v>
      </c>
      <c r="E83" s="180">
        <f>IncomeSummary[[#This Row],[LOOSE OFFERING]]</f>
        <v>60</v>
      </c>
      <c r="F83" s="180">
        <f>IncomeSummary[[#This Row],[SABBATH SCHOOL OFFERING]]</f>
        <v>227.7</v>
      </c>
      <c r="G83" s="180">
        <f>IncomeSummary[[#This Row],[WELFARE]]</f>
        <v>262</v>
      </c>
      <c r="H83" s="178">
        <v>0</v>
      </c>
      <c r="I83" s="178">
        <v>0</v>
      </c>
      <c r="J83" s="178">
        <v>0</v>
      </c>
      <c r="K83" s="178">
        <f>IncomeSummary[[#This Row],[ BIBLE SOCIETY HARVEST]]</f>
        <v>0</v>
      </c>
      <c r="L83" s="178">
        <v>0</v>
      </c>
      <c r="M83" s="178">
        <v>0</v>
      </c>
      <c r="N83" s="178">
        <v>0</v>
      </c>
      <c r="O83" s="178">
        <v>0</v>
      </c>
      <c r="P83" s="178">
        <v>0</v>
      </c>
      <c r="Q83" s="178">
        <v>0</v>
      </c>
      <c r="R83" s="178"/>
      <c r="S83" s="178">
        <v>0</v>
      </c>
      <c r="T83" s="178">
        <v>0</v>
      </c>
      <c r="U83" s="178">
        <f>IncomeSummary[[#This Row],[ANNUAL HARVEST]]</f>
        <v>0</v>
      </c>
      <c r="V83" s="178"/>
      <c r="W83" s="178">
        <v>0</v>
      </c>
      <c r="X83" s="178">
        <v>0</v>
      </c>
      <c r="Y83" s="180">
        <f>SUM(WeeklyIncome[[#This Row],[TITHE]:[RENT]])</f>
        <v>1309.7</v>
      </c>
    </row>
    <row r="84" spans="1:25" hidden="1" x14ac:dyDescent="0.25">
      <c r="A84" s="177">
        <f t="shared" si="1"/>
        <v>44779</v>
      </c>
      <c r="B84" s="180">
        <f>IncomeSummary[[#This Row],[TITHE]]</f>
        <v>185</v>
      </c>
      <c r="C84" s="180">
        <f>IncomeSummary[[#This Row],[SYSTEMATIC OFFERING]]</f>
        <v>145</v>
      </c>
      <c r="D84" s="180">
        <f>IncomeSummary[[#This Row],[THANKS OFFERING]]</f>
        <v>30</v>
      </c>
      <c r="E84" s="180">
        <f>IncomeSummary[[#This Row],[LOOSE OFFERING]]</f>
        <v>56</v>
      </c>
      <c r="F84" s="180">
        <f>IncomeSummary[[#This Row],[SABBATH SCHOOL OFFERING]]</f>
        <v>123.7</v>
      </c>
      <c r="G84" s="180">
        <f>IncomeSummary[[#This Row],[WELFARE]]</f>
        <v>110</v>
      </c>
      <c r="H84" s="178">
        <v>0</v>
      </c>
      <c r="I84" s="178">
        <v>0</v>
      </c>
      <c r="J84" s="178">
        <v>0</v>
      </c>
      <c r="K84" s="178">
        <f>IncomeSummary[[#This Row],[ BIBLE SOCIETY HARVEST]]</f>
        <v>0</v>
      </c>
      <c r="L84" s="178">
        <v>0</v>
      </c>
      <c r="M84" s="178">
        <v>0</v>
      </c>
      <c r="N84" s="178">
        <v>0</v>
      </c>
      <c r="O84" s="178">
        <v>0</v>
      </c>
      <c r="P84" s="178">
        <v>0</v>
      </c>
      <c r="Q84" s="178">
        <v>0</v>
      </c>
      <c r="R84" s="178"/>
      <c r="S84" s="178">
        <v>0</v>
      </c>
      <c r="T84" s="178">
        <v>0</v>
      </c>
      <c r="U84" s="178">
        <f>IncomeSummary[[#This Row],[ANNUAL HARVEST]]</f>
        <v>0</v>
      </c>
      <c r="V84" s="178"/>
      <c r="W84" s="178">
        <v>0</v>
      </c>
      <c r="X84" s="178">
        <v>0</v>
      </c>
      <c r="Y84" s="180">
        <f>SUM(WeeklyIncome[[#This Row],[TITHE]:[RENT]])</f>
        <v>649.70000000000005</v>
      </c>
    </row>
    <row r="85" spans="1:25" hidden="1" x14ac:dyDescent="0.25">
      <c r="A85" s="177">
        <f t="shared" si="1"/>
        <v>44786</v>
      </c>
      <c r="B85" s="180">
        <f>IncomeSummary[[#This Row],[TITHE]]</f>
        <v>256</v>
      </c>
      <c r="C85" s="180">
        <f>IncomeSummary[[#This Row],[SYSTEMATIC OFFERING]]</f>
        <v>208</v>
      </c>
      <c r="D85" s="180">
        <f>IncomeSummary[[#This Row],[THANKS OFFERING]]</f>
        <v>20</v>
      </c>
      <c r="E85" s="180">
        <f>IncomeSummary[[#This Row],[LOOSE OFFERING]]</f>
        <v>30</v>
      </c>
      <c r="F85" s="180">
        <f>IncomeSummary[[#This Row],[SABBATH SCHOOL OFFERING]]</f>
        <v>138.69999999999999</v>
      </c>
      <c r="G85" s="180">
        <f>IncomeSummary[[#This Row],[WELFARE]]</f>
        <v>118</v>
      </c>
      <c r="H85" s="178">
        <v>0</v>
      </c>
      <c r="I85" s="178">
        <v>0</v>
      </c>
      <c r="J85" s="178">
        <v>0</v>
      </c>
      <c r="K85" s="178">
        <f>IncomeSummary[[#This Row],[ BIBLE SOCIETY HARVEST]]</f>
        <v>0</v>
      </c>
      <c r="L85" s="178">
        <v>0</v>
      </c>
      <c r="M85" s="178">
        <v>0</v>
      </c>
      <c r="N85" s="178">
        <v>0</v>
      </c>
      <c r="O85" s="178">
        <v>0</v>
      </c>
      <c r="P85" s="178">
        <v>0</v>
      </c>
      <c r="Q85" s="178">
        <v>0</v>
      </c>
      <c r="R85" s="178"/>
      <c r="S85" s="178">
        <v>0</v>
      </c>
      <c r="T85" s="178">
        <v>0</v>
      </c>
      <c r="U85" s="178">
        <f>IncomeSummary[[#This Row],[ANNUAL HARVEST]]</f>
        <v>0</v>
      </c>
      <c r="V85" s="178"/>
      <c r="W85" s="178">
        <v>0</v>
      </c>
      <c r="X85" s="178">
        <v>0</v>
      </c>
      <c r="Y85" s="180">
        <f>SUM(WeeklyIncome[[#This Row],[TITHE]:[RENT]])</f>
        <v>770.7</v>
      </c>
    </row>
    <row r="86" spans="1:25" hidden="1" x14ac:dyDescent="0.25">
      <c r="A86" s="177">
        <f t="shared" si="1"/>
        <v>44793</v>
      </c>
      <c r="B86" s="180">
        <f>IncomeSummary[[#This Row],[TITHE]]</f>
        <v>256</v>
      </c>
      <c r="C86" s="180">
        <f>IncomeSummary[[#This Row],[SYSTEMATIC OFFERING]]</f>
        <v>210</v>
      </c>
      <c r="D86" s="180">
        <f>IncomeSummary[[#This Row],[THANKS OFFERING]]</f>
        <v>15</v>
      </c>
      <c r="E86" s="180">
        <f>IncomeSummary[[#This Row],[LOOSE OFFERING]]</f>
        <v>42</v>
      </c>
      <c r="F86" s="180">
        <f>IncomeSummary[[#This Row],[SABBATH SCHOOL OFFERING]]</f>
        <v>121</v>
      </c>
      <c r="G86" s="180">
        <f>IncomeSummary[[#This Row],[WELFARE]]</f>
        <v>95</v>
      </c>
      <c r="H86" s="178">
        <v>0</v>
      </c>
      <c r="I86" s="178">
        <v>0</v>
      </c>
      <c r="J86" s="178">
        <v>0</v>
      </c>
      <c r="K86" s="178">
        <f>IncomeSummary[[#This Row],[ BIBLE SOCIETY HARVEST]]</f>
        <v>0</v>
      </c>
      <c r="L86" s="178">
        <v>0</v>
      </c>
      <c r="M86" s="178">
        <v>0</v>
      </c>
      <c r="N86" s="178">
        <v>0</v>
      </c>
      <c r="O86" s="178">
        <v>0</v>
      </c>
      <c r="P86" s="178">
        <v>0</v>
      </c>
      <c r="Q86" s="178">
        <v>0</v>
      </c>
      <c r="R86" s="178"/>
      <c r="S86" s="178">
        <v>0</v>
      </c>
      <c r="T86" s="178">
        <v>0</v>
      </c>
      <c r="U86" s="178">
        <f>IncomeSummary[[#This Row],[ANNUAL HARVEST]]</f>
        <v>0</v>
      </c>
      <c r="V86" s="178"/>
      <c r="W86" s="178">
        <v>0</v>
      </c>
      <c r="X86" s="178">
        <v>0</v>
      </c>
      <c r="Y86" s="180">
        <f>SUM(WeeklyIncome[[#This Row],[TITHE]:[RENT]])</f>
        <v>739</v>
      </c>
    </row>
    <row r="87" spans="1:25" hidden="1" x14ac:dyDescent="0.25">
      <c r="A87" s="177">
        <f t="shared" si="1"/>
        <v>44800</v>
      </c>
      <c r="B87" s="180">
        <f>IncomeSummary[[#This Row],[TITHE]]</f>
        <v>202</v>
      </c>
      <c r="C87" s="180">
        <f>IncomeSummary[[#This Row],[SYSTEMATIC OFFERING]]</f>
        <v>105</v>
      </c>
      <c r="D87" s="180">
        <f>IncomeSummary[[#This Row],[THANKS OFFERING]]</f>
        <v>0</v>
      </c>
      <c r="E87" s="180">
        <f>IncomeSummary[[#This Row],[LOOSE OFFERING]]</f>
        <v>0</v>
      </c>
      <c r="F87" s="180">
        <f>IncomeSummary[[#This Row],[SABBATH SCHOOL OFFERING]]</f>
        <v>32</v>
      </c>
      <c r="G87" s="180">
        <f>IncomeSummary[[#This Row],[WELFARE]]</f>
        <v>120</v>
      </c>
      <c r="H87" s="178">
        <v>3600</v>
      </c>
      <c r="I87" s="178">
        <v>0</v>
      </c>
      <c r="J87" s="178">
        <v>0</v>
      </c>
      <c r="K87" s="178">
        <f>IncomeSummary[[#This Row],[ BIBLE SOCIETY HARVEST]]</f>
        <v>0</v>
      </c>
      <c r="L87" s="178">
        <v>0</v>
      </c>
      <c r="M87" s="178">
        <v>0</v>
      </c>
      <c r="N87" s="178">
        <v>0</v>
      </c>
      <c r="O87" s="178">
        <v>0</v>
      </c>
      <c r="P87" s="178">
        <v>0</v>
      </c>
      <c r="Q87" s="178">
        <v>0</v>
      </c>
      <c r="R87" s="178"/>
      <c r="S87" s="178">
        <v>0</v>
      </c>
      <c r="T87" s="178">
        <v>0</v>
      </c>
      <c r="U87" s="178">
        <f>IncomeSummary[[#This Row],[ANNUAL HARVEST]]</f>
        <v>0</v>
      </c>
      <c r="V87" s="178"/>
      <c r="W87" s="178">
        <v>0</v>
      </c>
      <c r="X87" s="178">
        <v>0</v>
      </c>
      <c r="Y87" s="180">
        <f>SUM(WeeklyIncome[[#This Row],[TITHE]:[RENT]])</f>
        <v>4059</v>
      </c>
    </row>
    <row r="88" spans="1:25" hidden="1" x14ac:dyDescent="0.25">
      <c r="A88" s="177">
        <f t="shared" si="1"/>
        <v>44807</v>
      </c>
      <c r="B88" s="180">
        <f>IncomeSummary[[#This Row],[TITHE]]</f>
        <v>0</v>
      </c>
      <c r="C88" s="180">
        <f>IncomeSummary[[#This Row],[SYSTEMATIC OFFERING]]</f>
        <v>0</v>
      </c>
      <c r="D88" s="180">
        <f>IncomeSummary[[#This Row],[THANKS OFFERING]]</f>
        <v>0</v>
      </c>
      <c r="E88" s="180">
        <f>IncomeSummary[[#This Row],[LOOSE OFFERING]]</f>
        <v>0</v>
      </c>
      <c r="F88" s="180">
        <f>IncomeSummary[[#This Row],[SABBATH SCHOOL OFFERING]]</f>
        <v>0</v>
      </c>
      <c r="G88" s="180">
        <f>IncomeSummary[[#This Row],[WELFARE]]</f>
        <v>0</v>
      </c>
      <c r="H88" s="178">
        <v>0</v>
      </c>
      <c r="I88" s="178">
        <v>0</v>
      </c>
      <c r="J88" s="178">
        <v>0</v>
      </c>
      <c r="K88" s="178">
        <f>IncomeSummary[[#This Row],[ BIBLE SOCIETY HARVEST]]</f>
        <v>0</v>
      </c>
      <c r="L88" s="178">
        <v>0</v>
      </c>
      <c r="M88" s="178">
        <v>0</v>
      </c>
      <c r="N88" s="178">
        <v>0</v>
      </c>
      <c r="O88" s="178">
        <v>0</v>
      </c>
      <c r="P88" s="178">
        <v>0</v>
      </c>
      <c r="Q88" s="178">
        <v>0</v>
      </c>
      <c r="R88" s="178"/>
      <c r="S88" s="178">
        <v>0</v>
      </c>
      <c r="T88" s="178">
        <v>0</v>
      </c>
      <c r="U88" s="178">
        <f>IncomeSummary[[#This Row],[ANNUAL HARVEST]]</f>
        <v>0</v>
      </c>
      <c r="V88" s="178"/>
      <c r="W88" s="178">
        <v>0</v>
      </c>
      <c r="X88" s="178">
        <v>0</v>
      </c>
      <c r="Y88" s="180">
        <f>SUM(WeeklyIncome[[#This Row],[TITHE]:[RENT]])</f>
        <v>0</v>
      </c>
    </row>
    <row r="89" spans="1:25" hidden="1" x14ac:dyDescent="0.25">
      <c r="A89" s="177">
        <f t="shared" si="1"/>
        <v>44814</v>
      </c>
      <c r="B89" s="180">
        <f>IncomeSummary[[#This Row],[TITHE]]</f>
        <v>133</v>
      </c>
      <c r="C89" s="180">
        <f>IncomeSummary[[#This Row],[SYSTEMATIC OFFERING]]</f>
        <v>90</v>
      </c>
      <c r="D89" s="180">
        <f>IncomeSummary[[#This Row],[THANKS OFFERING]]</f>
        <v>50</v>
      </c>
      <c r="E89" s="180">
        <f>IncomeSummary[[#This Row],[LOOSE OFFERING]]</f>
        <v>63</v>
      </c>
      <c r="F89" s="180">
        <f>IncomeSummary[[#This Row],[SABBATH SCHOOL OFFERING]]</f>
        <v>290</v>
      </c>
      <c r="G89" s="180">
        <f>IncomeSummary[[#This Row],[WELFARE]]</f>
        <v>200</v>
      </c>
      <c r="H89" s="178">
        <v>0</v>
      </c>
      <c r="I89" s="178">
        <v>0</v>
      </c>
      <c r="J89" s="178">
        <v>0</v>
      </c>
      <c r="K89" s="178">
        <f>IncomeSummary[[#This Row],[ BIBLE SOCIETY HARVEST]]</f>
        <v>0</v>
      </c>
      <c r="L89" s="178">
        <v>0</v>
      </c>
      <c r="M89" s="178">
        <v>0</v>
      </c>
      <c r="N89" s="178">
        <v>0</v>
      </c>
      <c r="O89" s="178">
        <v>0</v>
      </c>
      <c r="P89" s="178">
        <v>0</v>
      </c>
      <c r="Q89" s="178">
        <v>0</v>
      </c>
      <c r="R89" s="178"/>
      <c r="S89" s="178">
        <v>0</v>
      </c>
      <c r="T89" s="178">
        <v>0</v>
      </c>
      <c r="U89" s="178">
        <f>IncomeSummary[[#This Row],[ANNUAL HARVEST]]</f>
        <v>0</v>
      </c>
      <c r="V89" s="178"/>
      <c r="W89" s="178">
        <v>0</v>
      </c>
      <c r="X89" s="178">
        <v>0</v>
      </c>
      <c r="Y89" s="180">
        <f>SUM(WeeklyIncome[[#This Row],[TITHE]:[RENT]])</f>
        <v>826</v>
      </c>
    </row>
    <row r="90" spans="1:25" hidden="1" x14ac:dyDescent="0.25">
      <c r="A90" s="177">
        <f t="shared" si="1"/>
        <v>44821</v>
      </c>
      <c r="B90" s="180">
        <f>IncomeSummary[[#This Row],[TITHE]]</f>
        <v>363</v>
      </c>
      <c r="C90" s="180">
        <f>IncomeSummary[[#This Row],[SYSTEMATIC OFFERING]]</f>
        <v>312</v>
      </c>
      <c r="D90" s="180">
        <f>IncomeSummary[[#This Row],[THANKS OFFERING]]</f>
        <v>30</v>
      </c>
      <c r="E90" s="180">
        <f>IncomeSummary[[#This Row],[LOOSE OFFERING]]</f>
        <v>45</v>
      </c>
      <c r="F90" s="180">
        <f>IncomeSummary[[#This Row],[SABBATH SCHOOL OFFERING]]</f>
        <v>79</v>
      </c>
      <c r="G90" s="180">
        <f>IncomeSummary[[#This Row],[WELFARE]]</f>
        <v>294</v>
      </c>
      <c r="H90" s="178">
        <v>0</v>
      </c>
      <c r="I90" s="178">
        <v>0</v>
      </c>
      <c r="J90" s="178">
        <v>0</v>
      </c>
      <c r="K90" s="178">
        <f>IncomeSummary[[#This Row],[ BIBLE SOCIETY HARVEST]]</f>
        <v>0</v>
      </c>
      <c r="L90" s="178">
        <v>0</v>
      </c>
      <c r="M90" s="178">
        <v>0</v>
      </c>
      <c r="N90" s="178">
        <v>0</v>
      </c>
      <c r="O90" s="178">
        <v>0</v>
      </c>
      <c r="P90" s="178">
        <v>0</v>
      </c>
      <c r="Q90" s="178">
        <v>0</v>
      </c>
      <c r="R90" s="178"/>
      <c r="S90" s="178">
        <v>0</v>
      </c>
      <c r="T90" s="178">
        <v>0</v>
      </c>
      <c r="U90" s="178">
        <f>IncomeSummary[[#This Row],[ANNUAL HARVEST]]</f>
        <v>0</v>
      </c>
      <c r="V90" s="178"/>
      <c r="W90" s="178">
        <v>0</v>
      </c>
      <c r="X90" s="178">
        <v>0</v>
      </c>
      <c r="Y90" s="180">
        <f>SUM(WeeklyIncome[[#This Row],[TITHE]:[RENT]])</f>
        <v>1123</v>
      </c>
    </row>
    <row r="91" spans="1:25" hidden="1" x14ac:dyDescent="0.25">
      <c r="A91" s="177">
        <f t="shared" si="1"/>
        <v>44828</v>
      </c>
      <c r="B91" s="180">
        <f>IncomeSummary[[#This Row],[TITHE]]</f>
        <v>224</v>
      </c>
      <c r="C91" s="180">
        <f>IncomeSummary[[#This Row],[SYSTEMATIC OFFERING]]</f>
        <v>189</v>
      </c>
      <c r="D91" s="180">
        <f>IncomeSummary[[#This Row],[THANKS OFFERING]]</f>
        <v>0</v>
      </c>
      <c r="E91" s="180">
        <f>IncomeSummary[[#This Row],[LOOSE OFFERING]]</f>
        <v>55</v>
      </c>
      <c r="F91" s="180">
        <f>IncomeSummary[[#This Row],[SABBATH SCHOOL OFFERING]]</f>
        <v>300.60000000000002</v>
      </c>
      <c r="G91" s="180">
        <f>IncomeSummary[[#This Row],[WELFARE]]</f>
        <v>220</v>
      </c>
      <c r="H91" s="178">
        <v>0</v>
      </c>
      <c r="I91" s="178">
        <v>0</v>
      </c>
      <c r="J91" s="178">
        <v>0</v>
      </c>
      <c r="K91" s="178">
        <f>IncomeSummary[[#This Row],[ BIBLE SOCIETY HARVEST]]</f>
        <v>0</v>
      </c>
      <c r="L91" s="178">
        <v>0</v>
      </c>
      <c r="M91" s="178">
        <v>0</v>
      </c>
      <c r="N91" s="178">
        <v>0</v>
      </c>
      <c r="O91" s="178">
        <v>0</v>
      </c>
      <c r="P91" s="178">
        <v>0</v>
      </c>
      <c r="Q91" s="178">
        <v>0</v>
      </c>
      <c r="R91" s="178"/>
      <c r="S91" s="178">
        <v>0</v>
      </c>
      <c r="T91" s="178">
        <v>0</v>
      </c>
      <c r="U91" s="178">
        <f>IncomeSummary[[#This Row],[ANNUAL HARVEST]]</f>
        <v>0</v>
      </c>
      <c r="V91" s="178"/>
      <c r="W91" s="178">
        <v>0</v>
      </c>
      <c r="X91" s="178">
        <v>40</v>
      </c>
      <c r="Y91" s="180">
        <f>SUM(WeeklyIncome[[#This Row],[TITHE]:[RENT]])</f>
        <v>1028.5999999999999</v>
      </c>
    </row>
    <row r="92" spans="1:25" hidden="1" x14ac:dyDescent="0.25">
      <c r="A92" s="177">
        <f t="shared" si="1"/>
        <v>44835</v>
      </c>
      <c r="B92" s="180">
        <f>IncomeSummary[[#This Row],[TITHE]]</f>
        <v>135</v>
      </c>
      <c r="C92" s="180">
        <f>IncomeSummary[[#This Row],[SYSTEMATIC OFFERING]]</f>
        <v>111</v>
      </c>
      <c r="D92" s="180">
        <f>IncomeSummary[[#This Row],[THANKS OFFERING]]</f>
        <v>58</v>
      </c>
      <c r="E92" s="180">
        <f>IncomeSummary[[#This Row],[LOOSE OFFERING]]</f>
        <v>70</v>
      </c>
      <c r="F92" s="180">
        <f>IncomeSummary[[#This Row],[SABBATH SCHOOL OFFERING]]</f>
        <v>145.69999999999999</v>
      </c>
      <c r="G92" s="180">
        <f>IncomeSummary[[#This Row],[WELFARE]]</f>
        <v>289</v>
      </c>
      <c r="H92" s="178">
        <v>0</v>
      </c>
      <c r="I92" s="178">
        <v>0</v>
      </c>
      <c r="J92" s="178">
        <v>0</v>
      </c>
      <c r="K92" s="178">
        <f>IncomeSummary[[#This Row],[ BIBLE SOCIETY HARVEST]]</f>
        <v>0</v>
      </c>
      <c r="L92" s="178">
        <v>0</v>
      </c>
      <c r="M92" s="178">
        <v>0</v>
      </c>
      <c r="N92" s="178">
        <v>0</v>
      </c>
      <c r="O92" s="178">
        <v>0</v>
      </c>
      <c r="P92" s="178">
        <v>0</v>
      </c>
      <c r="Q92" s="178">
        <v>0</v>
      </c>
      <c r="R92" s="178"/>
      <c r="S92" s="178">
        <v>0</v>
      </c>
      <c r="T92" s="178">
        <v>0</v>
      </c>
      <c r="U92" s="178">
        <f>IncomeSummary[[#This Row],[ANNUAL HARVEST]]</f>
        <v>0</v>
      </c>
      <c r="V92" s="178"/>
      <c r="W92" s="178">
        <v>0</v>
      </c>
      <c r="X92" s="178">
        <v>390</v>
      </c>
      <c r="Y92" s="180">
        <f>SUM(WeeklyIncome[[#This Row],[TITHE]:[RENT]])</f>
        <v>1198.7</v>
      </c>
    </row>
    <row r="93" spans="1:25" hidden="1" x14ac:dyDescent="0.25">
      <c r="A93" s="177">
        <f>DATE(YEAR(A92),MONTH(A92),DAY(A92)+7)</f>
        <v>44842</v>
      </c>
      <c r="B93" s="180">
        <f>IncomeSummary[[#This Row],[TITHE]]</f>
        <v>319</v>
      </c>
      <c r="C93" s="180">
        <f>IncomeSummary[[#This Row],[SYSTEMATIC OFFERING]]</f>
        <v>185</v>
      </c>
      <c r="D93" s="180">
        <f>IncomeSummary[[#This Row],[THANKS OFFERING]]</f>
        <v>0</v>
      </c>
      <c r="E93" s="180">
        <f>IncomeSummary[[#This Row],[LOOSE OFFERING]]</f>
        <v>0</v>
      </c>
      <c r="F93" s="180">
        <f>IncomeSummary[[#This Row],[SABBATH SCHOOL OFFERING]]</f>
        <v>73</v>
      </c>
      <c r="G93" s="180">
        <f>IncomeSummary[[#This Row],[WELFARE]]</f>
        <v>105</v>
      </c>
      <c r="H93" s="178">
        <v>0</v>
      </c>
      <c r="I93" s="178">
        <v>0</v>
      </c>
      <c r="J93" s="178">
        <v>0</v>
      </c>
      <c r="K93" s="178">
        <f>IncomeSummary[[#This Row],[ BIBLE SOCIETY HARVEST]]</f>
        <v>0</v>
      </c>
      <c r="L93" s="178">
        <v>0</v>
      </c>
      <c r="M93" s="178">
        <v>0</v>
      </c>
      <c r="N93" s="178">
        <v>0</v>
      </c>
      <c r="O93" s="178">
        <v>0</v>
      </c>
      <c r="P93" s="178">
        <v>0</v>
      </c>
      <c r="Q93" s="178">
        <v>0</v>
      </c>
      <c r="R93" s="178"/>
      <c r="S93" s="178">
        <v>0</v>
      </c>
      <c r="T93" s="178">
        <v>0</v>
      </c>
      <c r="U93" s="178">
        <f>IncomeSummary[[#This Row],[ANNUAL HARVEST]]</f>
        <v>0</v>
      </c>
      <c r="V93" s="178"/>
      <c r="W93" s="178">
        <v>0</v>
      </c>
      <c r="X93" s="178">
        <v>0</v>
      </c>
      <c r="Y93" s="180">
        <f>SUM(WeeklyIncome[[#This Row],[TITHE]:[RENT]])</f>
        <v>682</v>
      </c>
    </row>
    <row r="94" spans="1:25" hidden="1" x14ac:dyDescent="0.25">
      <c r="A94" s="177">
        <f t="shared" ref="A94:A105" si="2">DATE(YEAR(A93),MONTH(A93),DAY(A93)+7)</f>
        <v>44849</v>
      </c>
      <c r="B94" s="180">
        <f>IncomeSummary[[#This Row],[TITHE]]</f>
        <v>430</v>
      </c>
      <c r="C94" s="180">
        <f>IncomeSummary[[#This Row],[SYSTEMATIC OFFERING]]</f>
        <v>221</v>
      </c>
      <c r="D94" s="180">
        <f>IncomeSummary[[#This Row],[THANKS OFFERING]]</f>
        <v>40</v>
      </c>
      <c r="E94" s="180">
        <f>IncomeSummary[[#This Row],[LOOSE OFFERING]]</f>
        <v>46</v>
      </c>
      <c r="F94" s="180">
        <f>IncomeSummary[[#This Row],[SABBATH SCHOOL OFFERING]]</f>
        <v>434.1</v>
      </c>
      <c r="G94" s="180">
        <f>IncomeSummary[[#This Row],[WELFARE]]</f>
        <v>110</v>
      </c>
      <c r="H94" s="178">
        <v>0</v>
      </c>
      <c r="I94" s="178">
        <v>0</v>
      </c>
      <c r="J94" s="178">
        <v>0</v>
      </c>
      <c r="K94" s="178">
        <f>IncomeSummary[[#This Row],[ BIBLE SOCIETY HARVEST]]</f>
        <v>0</v>
      </c>
      <c r="L94" s="178">
        <v>0</v>
      </c>
      <c r="M94" s="178">
        <v>0</v>
      </c>
      <c r="N94" s="178">
        <v>0</v>
      </c>
      <c r="O94" s="178">
        <v>0</v>
      </c>
      <c r="P94" s="178">
        <v>0</v>
      </c>
      <c r="Q94" s="178">
        <v>0</v>
      </c>
      <c r="R94" s="178"/>
      <c r="S94" s="178">
        <v>0</v>
      </c>
      <c r="T94" s="178">
        <v>0</v>
      </c>
      <c r="U94" s="178">
        <f>IncomeSummary[[#This Row],[ANNUAL HARVEST]]</f>
        <v>0</v>
      </c>
      <c r="V94" s="178"/>
      <c r="W94" s="178">
        <v>0</v>
      </c>
      <c r="X94" s="178">
        <v>0</v>
      </c>
      <c r="Y94" s="180">
        <f>SUM(WeeklyIncome[[#This Row],[TITHE]:[RENT]])</f>
        <v>1281.0999999999999</v>
      </c>
    </row>
    <row r="95" spans="1:25" hidden="1" x14ac:dyDescent="0.25">
      <c r="A95" s="177">
        <f t="shared" si="2"/>
        <v>44856</v>
      </c>
      <c r="B95" s="180">
        <f>IncomeSummary[[#This Row],[TITHE]]</f>
        <v>311</v>
      </c>
      <c r="C95" s="180">
        <f>IncomeSummary[[#This Row],[SYSTEMATIC OFFERING]]</f>
        <v>205</v>
      </c>
      <c r="D95" s="180">
        <f>IncomeSummary[[#This Row],[THANKS OFFERING]]</f>
        <v>25</v>
      </c>
      <c r="E95" s="180">
        <f>IncomeSummary[[#This Row],[LOOSE OFFERING]]</f>
        <v>40</v>
      </c>
      <c r="F95" s="180">
        <f>IncomeSummary[[#This Row],[SABBATH SCHOOL OFFERING]]</f>
        <v>124</v>
      </c>
      <c r="G95" s="180">
        <f>IncomeSummary[[#This Row],[WELFARE]]</f>
        <v>235</v>
      </c>
      <c r="H95" s="178">
        <v>0</v>
      </c>
      <c r="I95" s="178">
        <v>0</v>
      </c>
      <c r="J95" s="178">
        <v>0</v>
      </c>
      <c r="K95" s="178">
        <f>IncomeSummary[[#This Row],[ BIBLE SOCIETY HARVEST]]</f>
        <v>0</v>
      </c>
      <c r="L95" s="178">
        <v>0</v>
      </c>
      <c r="M95" s="178">
        <v>0</v>
      </c>
      <c r="N95" s="178">
        <v>0</v>
      </c>
      <c r="O95" s="178">
        <v>0</v>
      </c>
      <c r="P95" s="178">
        <v>0</v>
      </c>
      <c r="Q95" s="178">
        <v>0</v>
      </c>
      <c r="R95" s="178"/>
      <c r="S95" s="178">
        <v>0</v>
      </c>
      <c r="T95" s="178">
        <v>0</v>
      </c>
      <c r="U95" s="178">
        <f>IncomeSummary[[#This Row],[ANNUAL HARVEST]]</f>
        <v>0</v>
      </c>
      <c r="V95" s="178"/>
      <c r="W95" s="178">
        <v>0</v>
      </c>
      <c r="X95" s="178">
        <v>0</v>
      </c>
      <c r="Y95" s="180">
        <f>SUM(WeeklyIncome[[#This Row],[TITHE]:[RENT]])</f>
        <v>940</v>
      </c>
    </row>
    <row r="96" spans="1:25" hidden="1" x14ac:dyDescent="0.25">
      <c r="A96" s="177">
        <f t="shared" si="2"/>
        <v>44863</v>
      </c>
      <c r="B96" s="180">
        <f>IncomeSummary[[#This Row],[TITHE]]</f>
        <v>212</v>
      </c>
      <c r="C96" s="180">
        <f>IncomeSummary[[#This Row],[SYSTEMATIC OFFERING]]</f>
        <v>225</v>
      </c>
      <c r="D96" s="180">
        <f>IncomeSummary[[#This Row],[THANKS OFFERING]]</f>
        <v>15</v>
      </c>
      <c r="E96" s="180">
        <f>IncomeSummary[[#This Row],[LOOSE OFFERING]]</f>
        <v>30</v>
      </c>
      <c r="F96" s="180">
        <f>IncomeSummary[[#This Row],[SABBATH SCHOOL OFFERING]]</f>
        <v>251.9</v>
      </c>
      <c r="G96" s="180">
        <f>IncomeSummary[[#This Row],[WELFARE]]</f>
        <v>60</v>
      </c>
      <c r="H96" s="178">
        <v>0</v>
      </c>
      <c r="I96" s="178">
        <v>0</v>
      </c>
      <c r="J96" s="178">
        <v>0</v>
      </c>
      <c r="K96" s="178">
        <f>IncomeSummary[[#This Row],[ BIBLE SOCIETY HARVEST]]</f>
        <v>0</v>
      </c>
      <c r="L96" s="178">
        <v>0</v>
      </c>
      <c r="M96" s="178">
        <v>0</v>
      </c>
      <c r="N96" s="178">
        <v>0</v>
      </c>
      <c r="O96" s="178">
        <v>0</v>
      </c>
      <c r="P96" s="178">
        <v>0</v>
      </c>
      <c r="Q96" s="178">
        <v>0</v>
      </c>
      <c r="R96" s="178"/>
      <c r="S96" s="178">
        <v>0</v>
      </c>
      <c r="T96" s="178">
        <v>0</v>
      </c>
      <c r="U96" s="178">
        <f>IncomeSummary[[#This Row],[ANNUAL HARVEST]]</f>
        <v>0</v>
      </c>
      <c r="V96" s="178"/>
      <c r="W96" s="178">
        <v>0</v>
      </c>
      <c r="X96" s="178">
        <v>0</v>
      </c>
      <c r="Y96" s="180">
        <f>SUM(WeeklyIncome[[#This Row],[TITHE]:[RENT]])</f>
        <v>793.9</v>
      </c>
    </row>
    <row r="97" spans="1:25" hidden="1" x14ac:dyDescent="0.25">
      <c r="A97" s="177">
        <f t="shared" si="2"/>
        <v>44870</v>
      </c>
      <c r="B97" s="180">
        <f>IncomeSummary[[#This Row],[TITHE]]</f>
        <v>150</v>
      </c>
      <c r="C97" s="180">
        <f>IncomeSummary[[#This Row],[SYSTEMATIC OFFERING]]</f>
        <v>138</v>
      </c>
      <c r="D97" s="180">
        <f>IncomeSummary[[#This Row],[THANKS OFFERING]]</f>
        <v>12</v>
      </c>
      <c r="E97" s="180">
        <f>IncomeSummary[[#This Row],[LOOSE OFFERING]]</f>
        <v>0</v>
      </c>
      <c r="F97" s="180">
        <f>IncomeSummary[[#This Row],[SABBATH SCHOOL OFFERING]]</f>
        <v>32</v>
      </c>
      <c r="G97" s="180">
        <f>IncomeSummary[[#This Row],[WELFARE]]</f>
        <v>160</v>
      </c>
      <c r="H97" s="178">
        <v>0</v>
      </c>
      <c r="I97" s="178">
        <v>0</v>
      </c>
      <c r="J97" s="178">
        <v>0</v>
      </c>
      <c r="K97" s="178">
        <f>IncomeSummary[[#This Row],[ BIBLE SOCIETY HARVEST]]</f>
        <v>0</v>
      </c>
      <c r="L97" s="178">
        <v>0</v>
      </c>
      <c r="M97" s="178">
        <v>4670.5</v>
      </c>
      <c r="N97" s="178">
        <v>0</v>
      </c>
      <c r="O97" s="178">
        <v>0</v>
      </c>
      <c r="P97" s="178">
        <v>0</v>
      </c>
      <c r="Q97" s="178">
        <v>0</v>
      </c>
      <c r="R97" s="178"/>
      <c r="S97" s="178">
        <v>0</v>
      </c>
      <c r="T97" s="178">
        <v>0</v>
      </c>
      <c r="U97" s="178">
        <f>IncomeSummary[[#This Row],[ANNUAL HARVEST]]</f>
        <v>0</v>
      </c>
      <c r="V97" s="178"/>
      <c r="W97" s="178">
        <v>0</v>
      </c>
      <c r="X97" s="178">
        <v>300</v>
      </c>
      <c r="Y97" s="180">
        <f>SUM(WeeklyIncome[[#This Row],[TITHE]:[RENT]])</f>
        <v>5462.5</v>
      </c>
    </row>
    <row r="98" spans="1:25" hidden="1" x14ac:dyDescent="0.25">
      <c r="A98" s="177">
        <f t="shared" si="2"/>
        <v>44877</v>
      </c>
      <c r="B98" s="180">
        <f>IncomeSummary[[#This Row],[TITHE]]</f>
        <v>209</v>
      </c>
      <c r="C98" s="180">
        <f>IncomeSummary[[#This Row],[SYSTEMATIC OFFERING]]</f>
        <v>152</v>
      </c>
      <c r="D98" s="180">
        <f>IncomeSummary[[#This Row],[THANKS OFFERING]]</f>
        <v>5</v>
      </c>
      <c r="E98" s="180">
        <f>IncomeSummary[[#This Row],[LOOSE OFFERING]]</f>
        <v>50.5</v>
      </c>
      <c r="F98" s="180">
        <f>IncomeSummary[[#This Row],[SABBATH SCHOOL OFFERING]]</f>
        <v>147</v>
      </c>
      <c r="G98" s="180">
        <f>IncomeSummary[[#This Row],[WELFARE]]</f>
        <v>270</v>
      </c>
      <c r="H98" s="178">
        <v>0</v>
      </c>
      <c r="I98" s="178">
        <v>0</v>
      </c>
      <c r="J98" s="178">
        <v>0</v>
      </c>
      <c r="K98" s="178">
        <f>IncomeSummary[[#This Row],[ BIBLE SOCIETY HARVEST]]</f>
        <v>0</v>
      </c>
      <c r="L98" s="178">
        <v>600</v>
      </c>
      <c r="M98" s="178">
        <v>0</v>
      </c>
      <c r="N98" s="178">
        <v>0</v>
      </c>
      <c r="O98" s="178">
        <v>0</v>
      </c>
      <c r="P98" s="178">
        <v>0</v>
      </c>
      <c r="Q98" s="178">
        <v>0</v>
      </c>
      <c r="R98" s="178"/>
      <c r="S98" s="178">
        <v>0</v>
      </c>
      <c r="T98" s="178">
        <v>0</v>
      </c>
      <c r="U98" s="178">
        <f>IncomeSummary[[#This Row],[ANNUAL HARVEST]]</f>
        <v>0</v>
      </c>
      <c r="V98" s="178"/>
      <c r="W98" s="178">
        <v>0</v>
      </c>
      <c r="X98" s="178">
        <v>120</v>
      </c>
      <c r="Y98" s="180">
        <f>SUM(WeeklyIncome[[#This Row],[TITHE]:[RENT]])</f>
        <v>1553.5</v>
      </c>
    </row>
    <row r="99" spans="1:25" hidden="1" x14ac:dyDescent="0.25">
      <c r="A99" s="177">
        <f t="shared" si="2"/>
        <v>44884</v>
      </c>
      <c r="B99" s="180">
        <f>IncomeSummary[[#This Row],[TITHE]]</f>
        <v>181</v>
      </c>
      <c r="C99" s="180">
        <f>IncomeSummary[[#This Row],[SYSTEMATIC OFFERING]]</f>
        <v>188</v>
      </c>
      <c r="D99" s="180">
        <f>IncomeSummary[[#This Row],[THANKS OFFERING]]</f>
        <v>35</v>
      </c>
      <c r="E99" s="180">
        <f>IncomeSummary[[#This Row],[LOOSE OFFERING]]</f>
        <v>52</v>
      </c>
      <c r="F99" s="180">
        <f>IncomeSummary[[#This Row],[SABBATH SCHOOL OFFERING]]</f>
        <v>101.5</v>
      </c>
      <c r="G99" s="180">
        <f>IncomeSummary[[#This Row],[WELFARE]]</f>
        <v>270</v>
      </c>
      <c r="H99" s="178">
        <v>0</v>
      </c>
      <c r="I99" s="178">
        <v>0</v>
      </c>
      <c r="J99" s="178">
        <v>0</v>
      </c>
      <c r="K99" s="178">
        <f>IncomeSummary[[#This Row],[ BIBLE SOCIETY HARVEST]]</f>
        <v>0</v>
      </c>
      <c r="L99" s="178">
        <v>0</v>
      </c>
      <c r="M99" s="178">
        <v>0</v>
      </c>
      <c r="N99" s="178">
        <v>0</v>
      </c>
      <c r="O99" s="178">
        <v>0</v>
      </c>
      <c r="P99" s="178">
        <v>0</v>
      </c>
      <c r="Q99" s="178">
        <v>0</v>
      </c>
      <c r="R99" s="178"/>
      <c r="S99" s="178">
        <v>0</v>
      </c>
      <c r="T99" s="178">
        <v>0</v>
      </c>
      <c r="U99" s="178">
        <f>IncomeSummary[[#This Row],[ANNUAL HARVEST]]</f>
        <v>0</v>
      </c>
      <c r="V99" s="178"/>
      <c r="W99" s="178">
        <v>0</v>
      </c>
      <c r="X99" s="178">
        <v>0</v>
      </c>
      <c r="Y99" s="180">
        <f>SUM(WeeklyIncome[[#This Row],[TITHE]:[RENT]])</f>
        <v>827.5</v>
      </c>
    </row>
    <row r="100" spans="1:25" hidden="1" x14ac:dyDescent="0.25">
      <c r="A100" s="177">
        <f t="shared" si="2"/>
        <v>44891</v>
      </c>
      <c r="B100" s="180">
        <f>IncomeSummary[[#This Row],[TITHE]]</f>
        <v>516</v>
      </c>
      <c r="C100" s="180">
        <f>IncomeSummary[[#This Row],[SYSTEMATIC OFFERING]]</f>
        <v>209</v>
      </c>
      <c r="D100" s="180">
        <f>IncomeSummary[[#This Row],[THANKS OFFERING]]</f>
        <v>60</v>
      </c>
      <c r="E100" s="180">
        <f>IncomeSummary[[#This Row],[LOOSE OFFERING]]</f>
        <v>150</v>
      </c>
      <c r="F100" s="180">
        <f>IncomeSummary[[#This Row],[SABBATH SCHOOL OFFERING]]</f>
        <v>373.2</v>
      </c>
      <c r="G100" s="180">
        <f>IncomeSummary[[#This Row],[WELFARE]]</f>
        <v>660</v>
      </c>
      <c r="H100" s="178">
        <v>0</v>
      </c>
      <c r="I100" s="178">
        <v>0</v>
      </c>
      <c r="J100" s="178">
        <v>0</v>
      </c>
      <c r="K100" s="178">
        <f>IncomeSummary[[#This Row],[ BIBLE SOCIETY HARVEST]]</f>
        <v>0</v>
      </c>
      <c r="L100" s="178">
        <v>1365</v>
      </c>
      <c r="M100" s="178">
        <v>0</v>
      </c>
      <c r="N100" s="178">
        <v>0</v>
      </c>
      <c r="O100" s="178">
        <v>0</v>
      </c>
      <c r="P100" s="178">
        <v>0</v>
      </c>
      <c r="Q100" s="178">
        <v>0</v>
      </c>
      <c r="R100" s="178"/>
      <c r="S100" s="178">
        <v>0</v>
      </c>
      <c r="T100" s="178">
        <v>0</v>
      </c>
      <c r="U100" s="178">
        <f>IncomeSummary[[#This Row],[ANNUAL HARVEST]]</f>
        <v>0</v>
      </c>
      <c r="V100" s="178"/>
      <c r="W100" s="178">
        <v>0</v>
      </c>
      <c r="X100" s="178">
        <v>0</v>
      </c>
      <c r="Y100" s="180">
        <f>SUM(WeeklyIncome[[#This Row],[TITHE]:[RENT]])</f>
        <v>3333.2</v>
      </c>
    </row>
    <row r="101" spans="1:25" hidden="1" x14ac:dyDescent="0.25">
      <c r="A101" s="177">
        <f t="shared" si="2"/>
        <v>44898</v>
      </c>
      <c r="B101" s="180">
        <f>IncomeSummary[[#This Row],[TITHE]]</f>
        <v>338</v>
      </c>
      <c r="C101" s="180">
        <f>IncomeSummary[[#This Row],[SYSTEMATIC OFFERING]]</f>
        <v>185</v>
      </c>
      <c r="D101" s="180">
        <f>IncomeSummary[[#This Row],[THANKS OFFERING]]</f>
        <v>60</v>
      </c>
      <c r="E101" s="180">
        <f>IncomeSummary[[#This Row],[LOOSE OFFERING]]</f>
        <v>190</v>
      </c>
      <c r="F101" s="180">
        <f>IncomeSummary[[#This Row],[SABBATH SCHOOL OFFERING]]</f>
        <v>272.8</v>
      </c>
      <c r="G101" s="180">
        <f>IncomeSummary[[#This Row],[WELFARE]]</f>
        <v>473</v>
      </c>
      <c r="H101" s="178">
        <v>0</v>
      </c>
      <c r="I101" s="178">
        <v>0</v>
      </c>
      <c r="J101" s="178">
        <v>0</v>
      </c>
      <c r="K101" s="178">
        <f>IncomeSummary[[#This Row],[ BIBLE SOCIETY HARVEST]]</f>
        <v>0</v>
      </c>
      <c r="L101" s="178">
        <v>0</v>
      </c>
      <c r="M101" s="178">
        <v>0</v>
      </c>
      <c r="N101" s="178">
        <v>0</v>
      </c>
      <c r="O101" s="178">
        <v>0</v>
      </c>
      <c r="P101" s="178">
        <v>0</v>
      </c>
      <c r="Q101" s="178">
        <v>0</v>
      </c>
      <c r="R101" s="178"/>
      <c r="S101" s="178">
        <v>0</v>
      </c>
      <c r="T101" s="178">
        <v>0</v>
      </c>
      <c r="U101" s="178">
        <f>IncomeSummary[[#This Row],[ANNUAL HARVEST]]</f>
        <v>0</v>
      </c>
      <c r="V101" s="178"/>
      <c r="W101" s="178">
        <v>0</v>
      </c>
      <c r="X101" s="178">
        <v>120</v>
      </c>
      <c r="Y101" s="180">
        <f>SUM(WeeklyIncome[[#This Row],[TITHE]:[RENT]])</f>
        <v>1638.8</v>
      </c>
    </row>
    <row r="102" spans="1:25" hidden="1" x14ac:dyDescent="0.25">
      <c r="A102" s="177">
        <f t="shared" si="2"/>
        <v>44905</v>
      </c>
      <c r="B102" s="180">
        <f>IncomeSummary[[#This Row],[TITHE]]</f>
        <v>150</v>
      </c>
      <c r="C102" s="180">
        <f>IncomeSummary[[#This Row],[SYSTEMATIC OFFERING]]</f>
        <v>145</v>
      </c>
      <c r="D102" s="180">
        <f>IncomeSummary[[#This Row],[THANKS OFFERING]]</f>
        <v>40</v>
      </c>
      <c r="E102" s="180">
        <f>IncomeSummary[[#This Row],[LOOSE OFFERING]]</f>
        <v>65</v>
      </c>
      <c r="F102" s="180">
        <f>IncomeSummary[[#This Row],[SABBATH SCHOOL OFFERING]]</f>
        <v>196.4</v>
      </c>
      <c r="G102" s="180">
        <f>IncomeSummary[[#This Row],[WELFARE]]</f>
        <v>347</v>
      </c>
      <c r="H102" s="178">
        <v>0</v>
      </c>
      <c r="I102" s="178">
        <v>0</v>
      </c>
      <c r="J102" s="178">
        <v>0</v>
      </c>
      <c r="K102" s="178">
        <f>IncomeSummary[[#This Row],[ BIBLE SOCIETY HARVEST]]</f>
        <v>0</v>
      </c>
      <c r="L102" s="178">
        <v>0</v>
      </c>
      <c r="M102" s="178">
        <v>0</v>
      </c>
      <c r="N102" s="178">
        <v>0</v>
      </c>
      <c r="O102" s="178">
        <v>0</v>
      </c>
      <c r="P102" s="178">
        <v>0</v>
      </c>
      <c r="Q102" s="178">
        <v>0</v>
      </c>
      <c r="R102" s="178"/>
      <c r="S102" s="178">
        <v>0</v>
      </c>
      <c r="T102" s="178">
        <v>0</v>
      </c>
      <c r="U102" s="178">
        <f>IncomeSummary[[#This Row],[ANNUAL HARVEST]]</f>
        <v>0</v>
      </c>
      <c r="V102" s="178"/>
      <c r="W102" s="178">
        <v>0</v>
      </c>
      <c r="X102" s="178">
        <v>440</v>
      </c>
      <c r="Y102" s="180">
        <f>SUM(WeeklyIncome[[#This Row],[TITHE]:[RENT]])</f>
        <v>1383.4</v>
      </c>
    </row>
    <row r="103" spans="1:25" hidden="1" x14ac:dyDescent="0.25">
      <c r="A103" s="177">
        <f t="shared" si="2"/>
        <v>44912</v>
      </c>
      <c r="B103" s="180">
        <f>IncomeSummary[[#This Row],[TITHE]]</f>
        <v>310</v>
      </c>
      <c r="C103" s="180">
        <f>IncomeSummary[[#This Row],[SYSTEMATIC OFFERING]]</f>
        <v>248</v>
      </c>
      <c r="D103" s="180">
        <f>IncomeSummary[[#This Row],[THANKS OFFERING]]</f>
        <v>30</v>
      </c>
      <c r="E103" s="180">
        <f>IncomeSummary[[#This Row],[LOOSE OFFERING]]</f>
        <v>0</v>
      </c>
      <c r="F103" s="180">
        <f>IncomeSummary[[#This Row],[SABBATH SCHOOL OFFERING]]</f>
        <v>118</v>
      </c>
      <c r="G103" s="180">
        <f>IncomeSummary[[#This Row],[WELFARE]]</f>
        <v>450</v>
      </c>
      <c r="H103" s="178">
        <v>0</v>
      </c>
      <c r="I103" s="178">
        <v>0</v>
      </c>
      <c r="J103" s="178">
        <v>0</v>
      </c>
      <c r="K103" s="178">
        <f>IncomeSummary[[#This Row],[ BIBLE SOCIETY HARVEST]]</f>
        <v>0</v>
      </c>
      <c r="L103" s="178">
        <v>0</v>
      </c>
      <c r="M103" s="178">
        <v>0</v>
      </c>
      <c r="N103" s="178">
        <v>0</v>
      </c>
      <c r="O103" s="178">
        <v>0</v>
      </c>
      <c r="P103" s="178">
        <v>0</v>
      </c>
      <c r="Q103" s="178">
        <v>0</v>
      </c>
      <c r="R103" s="178"/>
      <c r="S103" s="178">
        <v>0</v>
      </c>
      <c r="T103" s="178">
        <v>0</v>
      </c>
      <c r="U103" s="178">
        <f>IncomeSummary[[#This Row],[ANNUAL HARVEST]]</f>
        <v>0</v>
      </c>
      <c r="V103" s="178"/>
      <c r="W103" s="178">
        <v>0</v>
      </c>
      <c r="X103" s="178">
        <v>0</v>
      </c>
      <c r="Y103" s="180">
        <f>SUM(WeeklyIncome[[#This Row],[TITHE]:[RENT]])</f>
        <v>1156</v>
      </c>
    </row>
    <row r="104" spans="1:25" hidden="1" x14ac:dyDescent="0.25">
      <c r="A104" s="177">
        <f t="shared" si="2"/>
        <v>44919</v>
      </c>
      <c r="B104" s="180">
        <f>IncomeSummary[[#This Row],[TITHE]]</f>
        <v>356</v>
      </c>
      <c r="C104" s="180">
        <f>IncomeSummary[[#This Row],[SYSTEMATIC OFFERING]]</f>
        <v>264</v>
      </c>
      <c r="D104" s="180">
        <f>IncomeSummary[[#This Row],[THANKS OFFERING]]</f>
        <v>25</v>
      </c>
      <c r="E104" s="180">
        <f>IncomeSummary[[#This Row],[LOOSE OFFERING]]</f>
        <v>55</v>
      </c>
      <c r="F104" s="180">
        <f>IncomeSummary[[#This Row],[SABBATH SCHOOL OFFERING]]</f>
        <v>138.69999999999999</v>
      </c>
      <c r="G104" s="180">
        <f>IncomeSummary[[#This Row],[WELFARE]]</f>
        <v>255</v>
      </c>
      <c r="H104" s="178">
        <v>0</v>
      </c>
      <c r="I104" s="178">
        <v>0</v>
      </c>
      <c r="J104" s="178">
        <v>0</v>
      </c>
      <c r="K104" s="178">
        <f>IncomeSummary[[#This Row],[ BIBLE SOCIETY HARVEST]]</f>
        <v>0</v>
      </c>
      <c r="L104" s="178">
        <v>0</v>
      </c>
      <c r="M104" s="178">
        <v>0</v>
      </c>
      <c r="N104" s="178">
        <v>0</v>
      </c>
      <c r="O104" s="178">
        <v>0</v>
      </c>
      <c r="P104" s="178">
        <v>0</v>
      </c>
      <c r="Q104" s="178">
        <v>0</v>
      </c>
      <c r="R104" s="178"/>
      <c r="S104" s="178">
        <v>0</v>
      </c>
      <c r="T104" s="178">
        <v>0</v>
      </c>
      <c r="U104" s="178">
        <f>IncomeSummary[[#This Row],[ANNUAL HARVEST]]</f>
        <v>17390</v>
      </c>
      <c r="V104" s="178"/>
      <c r="W104" s="178">
        <v>0</v>
      </c>
      <c r="X104" s="178">
        <v>0</v>
      </c>
      <c r="Y104" s="180">
        <f>SUM(WeeklyIncome[[#This Row],[TITHE]:[RENT]])</f>
        <v>18483.7</v>
      </c>
    </row>
    <row r="105" spans="1:25" hidden="1" x14ac:dyDescent="0.25">
      <c r="A105" s="177">
        <f t="shared" si="2"/>
        <v>44926</v>
      </c>
      <c r="B105" s="180">
        <f>IncomeSummary[[#This Row],[TITHE]]</f>
        <v>234</v>
      </c>
      <c r="C105" s="180">
        <f>IncomeSummary[[#This Row],[SYSTEMATIC OFFERING]]</f>
        <v>164</v>
      </c>
      <c r="D105" s="180">
        <f>IncomeSummary[[#This Row],[THANKS OFFERING]]</f>
        <v>100</v>
      </c>
      <c r="E105" s="180">
        <f>IncomeSummary[[#This Row],[LOOSE OFFERING]]</f>
        <v>50</v>
      </c>
      <c r="F105" s="180">
        <f>IncomeSummary[[#This Row],[SABBATH SCHOOL OFFERING]]</f>
        <v>147.19999999999999</v>
      </c>
      <c r="G105" s="180">
        <f>IncomeSummary[[#This Row],[WELFARE]]</f>
        <v>240</v>
      </c>
      <c r="H105" s="178">
        <v>0</v>
      </c>
      <c r="I105" s="178">
        <v>0</v>
      </c>
      <c r="J105" s="178">
        <v>0</v>
      </c>
      <c r="K105" s="178">
        <f>IncomeSummary[[#This Row],[ BIBLE SOCIETY HARVEST]]</f>
        <v>0</v>
      </c>
      <c r="L105" s="178">
        <v>43568</v>
      </c>
      <c r="M105" s="178">
        <v>700</v>
      </c>
      <c r="N105" s="178">
        <v>0</v>
      </c>
      <c r="O105" s="178">
        <v>0</v>
      </c>
      <c r="P105" s="178">
        <v>0</v>
      </c>
      <c r="Q105" s="178">
        <v>0</v>
      </c>
      <c r="R105" s="178"/>
      <c r="S105" s="178">
        <v>0</v>
      </c>
      <c r="T105" s="178">
        <v>0</v>
      </c>
      <c r="U105" s="178">
        <f>IncomeSummary[[#This Row],[ANNUAL HARVEST]]</f>
        <v>0</v>
      </c>
      <c r="V105" s="178"/>
      <c r="W105" s="178">
        <v>0</v>
      </c>
      <c r="X105" s="178">
        <v>0</v>
      </c>
      <c r="Y105" s="180">
        <f>SUM(WeeklyIncome[[#This Row],[TITHE]:[RENT]])</f>
        <v>45203.199999999997</v>
      </c>
    </row>
    <row r="106" spans="1:25" x14ac:dyDescent="0.25">
      <c r="A106" s="175" t="s">
        <v>20</v>
      </c>
      <c r="B106" s="128">
        <f>SUBTOTAL(109,WeeklyIncome[TITHE])</f>
        <v>1589</v>
      </c>
      <c r="C106" s="128">
        <f>SUBTOTAL(109,WeeklyIncome[SYSTEMATIC OFFERING])</f>
        <v>678</v>
      </c>
      <c r="D106" s="128">
        <f>SUBTOTAL(109,WeeklyIncome[THANKS OFFERING])</f>
        <v>155</v>
      </c>
      <c r="E106" s="128">
        <f>SUBTOTAL(109,WeeklyIncome[LOOSE OFFERING])</f>
        <v>224.5</v>
      </c>
      <c r="F106" s="128">
        <f>SUBTOTAL(109,WeeklyIncome[EXPENSES OFFERING])</f>
        <v>574.1</v>
      </c>
      <c r="G106" s="128">
        <f>SUBTOTAL(109,WeeklyIncome[WELFARE DUES])</f>
        <v>532</v>
      </c>
      <c r="H106" s="128">
        <f>SUBTOTAL(109,WeeklyIncome[HARVEST])</f>
        <v>0</v>
      </c>
      <c r="I106" s="128">
        <f>SUBTOTAL(109,WeeklyIncome[SELLING OF TREES])</f>
        <v>0</v>
      </c>
      <c r="J106" s="128">
        <f>SUBTOTAL(109,WeeklyIncome[NURSERY])</f>
        <v>0</v>
      </c>
      <c r="K106" s="128">
        <f>SUBTOTAL(109,WeeklyIncome[BIBLE SOCIETY HARVEST])</f>
        <v>0</v>
      </c>
      <c r="L106" s="128">
        <f>SUBTOTAL(109,WeeklyIncome[DONATIONS])</f>
        <v>600</v>
      </c>
      <c r="M106" s="128">
        <f>SUBTOTAL(109,WeeklyIncome[FUND RAISING / SPECIAL HARVEST])</f>
        <v>1435</v>
      </c>
      <c r="N106" s="128">
        <f>SUBTOTAL(109,WeeklyIncome[CARE FOR THE AGED FUND])</f>
        <v>0</v>
      </c>
      <c r="O106" s="128">
        <f>SUBTOTAL(109,WeeklyIncome[ZONAL CONTRIBUTION])</f>
        <v>237</v>
      </c>
      <c r="P106" s="128">
        <f>SUBTOTAL(109,WeeklyIncome[WOMEN MINISTRY HARVEST])</f>
        <v>0</v>
      </c>
      <c r="Q106" s="128">
        <f>SUBTOTAL(109,WeeklyIncome[CHOIR])</f>
        <v>0</v>
      </c>
      <c r="R106" s="128">
        <f>SUBTOTAL(109,WeeklyIncome[SINGING BAND])</f>
        <v>0</v>
      </c>
      <c r="S106" s="128">
        <f>SUBTOTAL(109,WeeklyIncome[LORD''S SUPPER])</f>
        <v>0</v>
      </c>
      <c r="T106" s="128">
        <f>SUBTOTAL(109,WeeklyIncome[AMM HARVEST])</f>
        <v>0</v>
      </c>
      <c r="U106" s="128">
        <f>SUBTOTAL(109,WeeklyIncome[ANNUAL HARVEST])</f>
        <v>0</v>
      </c>
      <c r="V106" s="128">
        <f>SUBTOTAL(109,WeeklyIncome[CAMP MEETING])</f>
        <v>0</v>
      </c>
      <c r="W106" s="128">
        <f>SUBTOTAL(109,WeeklyIncome[HOME COMING])</f>
        <v>0</v>
      </c>
      <c r="X106" s="128">
        <f>SUBTOTAL(109,WeeklyIncome[RENT])</f>
        <v>0</v>
      </c>
      <c r="Y106" s="128">
        <f>SUBTOTAL(109,WeeklyIncome[TOTAL])</f>
        <v>6024.6</v>
      </c>
    </row>
    <row r="107" spans="1:25" x14ac:dyDescent="0.25">
      <c r="B107" s="9"/>
      <c r="C107" s="9"/>
      <c r="D107" s="9"/>
      <c r="E107" s="9"/>
      <c r="F107" s="9"/>
      <c r="G107" s="9"/>
    </row>
  </sheetData>
  <sheetProtection sheet="1" objects="1" scenarios="1" sort="0" autoFilter="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SaveToLocations">
                <anchor>
                  <from>
                    <xdr:col>8</xdr:col>
                    <xdr:colOff>904875</xdr:colOff>
                    <xdr:row>114</xdr:row>
                    <xdr:rowOff>123825</xdr:rowOff>
                  </from>
                  <to>
                    <xdr:col>10</xdr:col>
                    <xdr:colOff>142875</xdr:colOff>
                    <xdr:row>117</xdr:row>
                    <xdr:rowOff>38100</xdr:rowOff>
                  </to>
                </anchor>
              </controlPr>
            </control>
          </mc:Choice>
        </mc:AlternateContent>
        <mc:AlternateContent xmlns:mc="http://schemas.openxmlformats.org/markup-compatibility/2006">
          <mc:Choice Requires="x14">
            <control shapeId="2058" r:id="rId5" name="Button 10">
              <controlPr defaultSize="0" print="0" autoFill="0" autoPict="0" macro="[0]!WeeklyReports">
                <anchor>
                  <from>
                    <xdr:col>7</xdr:col>
                    <xdr:colOff>228600</xdr:colOff>
                    <xdr:row>114</xdr:row>
                    <xdr:rowOff>123825</xdr:rowOff>
                  </from>
                  <to>
                    <xdr:col>8</xdr:col>
                    <xdr:colOff>628650</xdr:colOff>
                    <xdr:row>117</xdr:row>
                    <xdr:rowOff>38100</xdr:rowOff>
                  </to>
                </anchor>
              </controlPr>
            </control>
          </mc:Choice>
        </mc:AlternateContent>
        <mc:AlternateContent xmlns:mc="http://schemas.openxmlformats.org/markup-compatibility/2006">
          <mc:Choice Requires="x14">
            <control shapeId="2059" r:id="rId6" name="Button 11">
              <controlPr defaultSize="0" print="0" autoFill="0" autoPict="0" macro="[0]!Receipt_Numbers">
                <anchor>
                  <from>
                    <xdr:col>5</xdr:col>
                    <xdr:colOff>1323975</xdr:colOff>
                    <xdr:row>114</xdr:row>
                    <xdr:rowOff>123825</xdr:rowOff>
                  </from>
                  <to>
                    <xdr:col>6</xdr:col>
                    <xdr:colOff>1085850</xdr:colOff>
                    <xdr:row>117</xdr:row>
                    <xdr:rowOff>38100</xdr:rowOff>
                  </to>
                </anchor>
              </controlPr>
            </control>
          </mc:Choice>
        </mc:AlternateContent>
        <mc:AlternateContent xmlns:mc="http://schemas.openxmlformats.org/markup-compatibility/2006">
          <mc:Choice Requires="x14">
            <control shapeId="2060" r:id="rId7" name="Button 12">
              <controlPr defaultSize="0" print="0" autoFill="0" autoPict="0" macro="[0]!Generate_Report">
                <anchor>
                  <from>
                    <xdr:col>4</xdr:col>
                    <xdr:colOff>1095375</xdr:colOff>
                    <xdr:row>114</xdr:row>
                    <xdr:rowOff>123825</xdr:rowOff>
                  </from>
                  <to>
                    <xdr:col>5</xdr:col>
                    <xdr:colOff>1057275</xdr:colOff>
                    <xdr:row>117</xdr:row>
                    <xdr:rowOff>38100</xdr:rowOff>
                  </to>
                </anchor>
              </controlPr>
            </control>
          </mc:Choice>
        </mc:AlternateContent>
        <mc:AlternateContent xmlns:mc="http://schemas.openxmlformats.org/markup-compatibility/2006">
          <mc:Choice Requires="x14">
            <control shapeId="2061" r:id="rId8" name="Button 13">
              <controlPr defaultSize="0" print="0" autoFill="0" autoPict="0" macro="[0]!Record_Expenditure">
                <anchor>
                  <from>
                    <xdr:col>3</xdr:col>
                    <xdr:colOff>904875</xdr:colOff>
                    <xdr:row>114</xdr:row>
                    <xdr:rowOff>114300</xdr:rowOff>
                  </from>
                  <to>
                    <xdr:col>4</xdr:col>
                    <xdr:colOff>800100</xdr:colOff>
                    <xdr:row>117</xdr:row>
                    <xdr:rowOff>9525</xdr:rowOff>
                  </to>
                </anchor>
              </controlPr>
            </control>
          </mc:Choice>
        </mc:AlternateContent>
        <mc:AlternateContent xmlns:mc="http://schemas.openxmlformats.org/markup-compatibility/2006">
          <mc:Choice Requires="x14">
            <control shapeId="2063" r:id="rId9" name="Button 15">
              <controlPr defaultSize="0" print="0" autoFill="0" autoPict="0" macro="[0]!Heritage_Funds">
                <anchor>
                  <from>
                    <xdr:col>10</xdr:col>
                    <xdr:colOff>419100</xdr:colOff>
                    <xdr:row>114</xdr:row>
                    <xdr:rowOff>123825</xdr:rowOff>
                  </from>
                  <to>
                    <xdr:col>11</xdr:col>
                    <xdr:colOff>0</xdr:colOff>
                    <xdr:row>117</xdr:row>
                    <xdr:rowOff>38100</xdr:rowOff>
                  </to>
                </anchor>
              </controlPr>
            </control>
          </mc:Choice>
        </mc:AlternateContent>
        <mc:AlternateContent xmlns:mc="http://schemas.openxmlformats.org/markup-compatibility/2006">
          <mc:Choice Requires="x14">
            <control shapeId="2064" r:id="rId10" name="Button 16">
              <controlPr defaultSize="0" print="0" autoFill="0" autoPict="0" macro="[0]!Return_Home">
                <anchor>
                  <from>
                    <xdr:col>2</xdr:col>
                    <xdr:colOff>1000125</xdr:colOff>
                    <xdr:row>114</xdr:row>
                    <xdr:rowOff>123825</xdr:rowOff>
                  </from>
                  <to>
                    <xdr:col>3</xdr:col>
                    <xdr:colOff>628650</xdr:colOff>
                    <xdr:row>117</xdr:row>
                    <xdr:rowOff>38100</xdr:rowOff>
                  </to>
                </anchor>
              </controlPr>
            </control>
          </mc:Choice>
        </mc:AlternateContent>
      </controls>
    </mc:Choice>
  </mc:AlternateContent>
  <tableParts count="1">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AK138"/>
  <sheetViews>
    <sheetView showGridLines="0" zoomScale="85" zoomScaleNormal="85" workbookViewId="0">
      <selection activeCell="B4" sqref="B4"/>
    </sheetView>
  </sheetViews>
  <sheetFormatPr defaultColWidth="10" defaultRowHeight="15" x14ac:dyDescent="0.25"/>
  <cols>
    <col min="1" max="1" width="10.85546875" style="7" bestFit="1" customWidth="1"/>
    <col min="2" max="2" width="26.85546875" style="7" customWidth="1"/>
    <col min="3" max="3" width="17.42578125" style="7" bestFit="1" customWidth="1"/>
    <col min="4" max="4" width="17.7109375" style="7" customWidth="1"/>
    <col min="5" max="5" width="19.85546875" style="7" customWidth="1"/>
    <col min="6" max="6" width="16.28515625" style="7" customWidth="1"/>
    <col min="7" max="7" width="20" style="7" customWidth="1"/>
    <col min="8" max="8" width="14.5703125" style="11" bestFit="1" customWidth="1"/>
    <col min="9" max="9" width="18.7109375" style="11" customWidth="1"/>
    <col min="10" max="10" width="35" style="7" customWidth="1"/>
    <col min="11" max="11" width="29.28515625" style="7" customWidth="1"/>
    <col min="12" max="12" width="19.42578125" style="7" customWidth="1"/>
    <col min="13" max="13" width="26.28515625" style="7" customWidth="1"/>
    <col min="14" max="14" width="18.7109375" style="7" customWidth="1"/>
    <col min="15" max="15" width="20.28515625" style="7" customWidth="1"/>
    <col min="16" max="16" width="28.7109375" style="7" customWidth="1"/>
    <col min="17" max="17" width="15.85546875" style="7" customWidth="1"/>
    <col min="18" max="18" width="30.42578125" style="7" customWidth="1"/>
    <col min="19" max="19" width="23.28515625" style="7" customWidth="1"/>
    <col min="20" max="20" width="35.42578125" style="7" customWidth="1"/>
    <col min="21" max="21" width="13.5703125" style="7" bestFit="1" customWidth="1"/>
    <col min="22" max="22" width="23.7109375" style="7" customWidth="1"/>
    <col min="23" max="23" width="16.42578125" style="7" customWidth="1"/>
    <col min="24" max="24" width="19.42578125" style="7" customWidth="1"/>
    <col min="25" max="25" width="23.5703125" style="7" customWidth="1"/>
    <col min="26" max="26" width="13.85546875" style="7" bestFit="1" customWidth="1"/>
    <col min="27" max="27" width="20.140625" style="7" customWidth="1"/>
    <col min="28" max="28" width="16.7109375" style="7" bestFit="1" customWidth="1"/>
    <col min="29" max="34" width="20.140625" style="7" customWidth="1"/>
    <col min="35" max="35" width="14.85546875" style="7" bestFit="1" customWidth="1"/>
    <col min="36" max="36" width="47.28515625" style="7" customWidth="1"/>
    <col min="37" max="37" width="15" style="7" customWidth="1"/>
    <col min="38" max="16384" width="10" style="7"/>
  </cols>
  <sheetData>
    <row r="1" spans="1:37" s="12" customFormat="1" ht="45" x14ac:dyDescent="0.25">
      <c r="A1" s="12" t="s">
        <v>21</v>
      </c>
      <c r="B1" s="12" t="s">
        <v>33</v>
      </c>
      <c r="C1" s="136" t="s">
        <v>83</v>
      </c>
      <c r="D1" s="12" t="s">
        <v>34</v>
      </c>
      <c r="E1" s="12" t="s">
        <v>35</v>
      </c>
      <c r="F1" s="12" t="s">
        <v>36</v>
      </c>
      <c r="G1" s="12" t="s">
        <v>37</v>
      </c>
      <c r="H1" s="22" t="s">
        <v>121</v>
      </c>
      <c r="I1" s="21" t="s">
        <v>38</v>
      </c>
      <c r="J1" s="12" t="s">
        <v>39</v>
      </c>
      <c r="K1" s="12" t="s">
        <v>40</v>
      </c>
      <c r="L1" s="12" t="s">
        <v>41</v>
      </c>
      <c r="M1" s="12" t="s">
        <v>42</v>
      </c>
      <c r="N1" s="12" t="s">
        <v>43</v>
      </c>
      <c r="O1" s="12" t="s">
        <v>44</v>
      </c>
      <c r="P1" s="12" t="s">
        <v>45</v>
      </c>
      <c r="Q1" s="12" t="s">
        <v>85</v>
      </c>
      <c r="R1" s="12" t="s">
        <v>46</v>
      </c>
      <c r="S1" s="136" t="s">
        <v>178</v>
      </c>
      <c r="T1" s="136" t="s">
        <v>179</v>
      </c>
      <c r="U1" s="136" t="s">
        <v>131</v>
      </c>
      <c r="V1" s="12" t="s">
        <v>47</v>
      </c>
      <c r="W1" s="12" t="s">
        <v>48</v>
      </c>
      <c r="X1" s="12" t="s">
        <v>49</v>
      </c>
      <c r="Y1" s="136" t="s">
        <v>50</v>
      </c>
      <c r="Z1" s="12" t="s">
        <v>51</v>
      </c>
      <c r="AA1" s="12" t="s">
        <v>87</v>
      </c>
      <c r="AB1" s="12" t="s">
        <v>86</v>
      </c>
      <c r="AC1" s="12" t="s">
        <v>88</v>
      </c>
      <c r="AD1" s="12" t="s">
        <v>89</v>
      </c>
      <c r="AE1" s="136" t="s">
        <v>133</v>
      </c>
      <c r="AF1" s="136" t="s">
        <v>132</v>
      </c>
      <c r="AG1" s="136" t="s">
        <v>138</v>
      </c>
      <c r="AH1" s="136" t="s">
        <v>160</v>
      </c>
      <c r="AI1" s="12" t="s">
        <v>52</v>
      </c>
      <c r="AJ1" s="12" t="s">
        <v>53</v>
      </c>
      <c r="AK1" s="12" t="s">
        <v>7</v>
      </c>
    </row>
    <row r="2" spans="1:37" x14ac:dyDescent="0.25">
      <c r="A2" s="16">
        <v>44205</v>
      </c>
      <c r="B2" s="17">
        <v>0</v>
      </c>
      <c r="C2" s="17">
        <v>0</v>
      </c>
      <c r="D2" s="17">
        <v>50</v>
      </c>
      <c r="E2" s="17">
        <v>0</v>
      </c>
      <c r="F2" s="17">
        <v>150</v>
      </c>
      <c r="G2" s="17">
        <v>150</v>
      </c>
      <c r="H2" s="18">
        <v>0</v>
      </c>
      <c r="I2" s="18">
        <v>0</v>
      </c>
      <c r="J2" s="17">
        <v>0</v>
      </c>
      <c r="K2" s="17">
        <v>0</v>
      </c>
      <c r="L2" s="17">
        <v>0</v>
      </c>
      <c r="M2" s="17">
        <v>0</v>
      </c>
      <c r="N2" s="17">
        <v>0</v>
      </c>
      <c r="O2" s="17">
        <v>0</v>
      </c>
      <c r="P2" s="17">
        <v>0</v>
      </c>
      <c r="Q2" s="17">
        <v>0</v>
      </c>
      <c r="R2" s="17">
        <v>110</v>
      </c>
      <c r="S2" s="17">
        <v>0</v>
      </c>
      <c r="T2" s="17">
        <v>50</v>
      </c>
      <c r="U2" s="17">
        <v>0</v>
      </c>
      <c r="V2" s="17">
        <v>0</v>
      </c>
      <c r="W2" s="17">
        <v>0</v>
      </c>
      <c r="X2" s="17">
        <v>0</v>
      </c>
      <c r="Y2" s="17">
        <v>0</v>
      </c>
      <c r="Z2" s="17">
        <v>0</v>
      </c>
      <c r="AA2" s="17">
        <v>0</v>
      </c>
      <c r="AB2" s="17">
        <v>0</v>
      </c>
      <c r="AC2" s="17">
        <v>0</v>
      </c>
      <c r="AD2" s="17">
        <v>0</v>
      </c>
      <c r="AE2" s="17">
        <v>0</v>
      </c>
      <c r="AF2" s="17">
        <v>0</v>
      </c>
      <c r="AG2" s="17">
        <v>0</v>
      </c>
      <c r="AH2" s="17">
        <v>0</v>
      </c>
      <c r="AI2" s="17">
        <v>0</v>
      </c>
      <c r="AJ2" s="17">
        <v>30</v>
      </c>
      <c r="AK2" s="19">
        <f>SUM(WeeklyExpenditure[[#This Row],[FOOD, WATER AND DRINKS]:[MISCELLANEOUS (Soap, Washing Powder, Others)]])</f>
        <v>540</v>
      </c>
    </row>
    <row r="3" spans="1:37" x14ac:dyDescent="0.25">
      <c r="A3" s="8">
        <f>DATE(YEAR(A2),MONTH(A2),DAY(A2)+7)</f>
        <v>44212</v>
      </c>
      <c r="B3" s="19">
        <v>215</v>
      </c>
      <c r="C3" s="19">
        <v>0</v>
      </c>
      <c r="D3" s="19">
        <v>0</v>
      </c>
      <c r="E3" s="19">
        <v>20</v>
      </c>
      <c r="F3" s="19">
        <v>0</v>
      </c>
      <c r="G3" s="19">
        <v>0</v>
      </c>
      <c r="H3" s="20">
        <v>0</v>
      </c>
      <c r="I3" s="20">
        <v>0</v>
      </c>
      <c r="J3" s="19">
        <v>0</v>
      </c>
      <c r="K3" s="19">
        <v>0</v>
      </c>
      <c r="L3" s="19">
        <v>0</v>
      </c>
      <c r="M3" s="19">
        <v>0</v>
      </c>
      <c r="N3" s="19">
        <v>0</v>
      </c>
      <c r="O3" s="19">
        <v>0</v>
      </c>
      <c r="P3" s="19">
        <v>0</v>
      </c>
      <c r="Q3" s="19">
        <v>0</v>
      </c>
      <c r="R3" s="19">
        <v>0</v>
      </c>
      <c r="S3" s="19">
        <v>1168</v>
      </c>
      <c r="T3" s="19">
        <v>0</v>
      </c>
      <c r="U3" s="19">
        <v>0</v>
      </c>
      <c r="V3" s="19">
        <v>0</v>
      </c>
      <c r="W3" s="19">
        <v>0</v>
      </c>
      <c r="X3" s="19">
        <v>0</v>
      </c>
      <c r="Y3" s="19">
        <v>0</v>
      </c>
      <c r="Z3" s="19">
        <v>0</v>
      </c>
      <c r="AA3" s="19">
        <v>0</v>
      </c>
      <c r="AB3" s="19">
        <v>0</v>
      </c>
      <c r="AC3" s="19">
        <v>0</v>
      </c>
      <c r="AD3" s="19">
        <v>0</v>
      </c>
      <c r="AE3" s="19">
        <v>0</v>
      </c>
      <c r="AF3" s="19">
        <v>0</v>
      </c>
      <c r="AG3" s="19">
        <v>0</v>
      </c>
      <c r="AH3" s="19">
        <v>0</v>
      </c>
      <c r="AI3" s="19">
        <v>0</v>
      </c>
      <c r="AJ3" s="19">
        <v>75</v>
      </c>
      <c r="AK3" s="19">
        <f>SUM(WeeklyExpenditure[[#This Row],[FOOD, WATER AND DRINKS]:[MISCELLANEOUS (Soap, Washing Powder, Others)]])</f>
        <v>1478</v>
      </c>
    </row>
    <row r="4" spans="1:37" x14ac:dyDescent="0.25">
      <c r="A4" s="8">
        <f t="shared" ref="A4:A67" si="0">DATE(YEAR(A3),MONTH(A3),DAY(A3)+7)</f>
        <v>44219</v>
      </c>
      <c r="B4" s="19">
        <v>0</v>
      </c>
      <c r="C4" s="19">
        <v>0</v>
      </c>
      <c r="D4" s="19">
        <v>0</v>
      </c>
      <c r="E4" s="19">
        <v>0</v>
      </c>
      <c r="F4" s="19">
        <v>0</v>
      </c>
      <c r="G4" s="19">
        <v>0</v>
      </c>
      <c r="H4" s="20">
        <v>0</v>
      </c>
      <c r="I4" s="20">
        <v>0</v>
      </c>
      <c r="J4" s="19">
        <v>0</v>
      </c>
      <c r="K4" s="19">
        <v>0</v>
      </c>
      <c r="L4" s="19">
        <v>0</v>
      </c>
      <c r="M4" s="19">
        <v>0</v>
      </c>
      <c r="N4" s="19">
        <v>0</v>
      </c>
      <c r="O4" s="19">
        <v>0</v>
      </c>
      <c r="P4" s="19">
        <v>0</v>
      </c>
      <c r="Q4" s="19">
        <v>0</v>
      </c>
      <c r="R4" s="19">
        <v>0</v>
      </c>
      <c r="S4" s="19">
        <v>0</v>
      </c>
      <c r="T4" s="19">
        <v>0</v>
      </c>
      <c r="U4" s="19">
        <v>0</v>
      </c>
      <c r="V4" s="19">
        <v>0</v>
      </c>
      <c r="W4" s="19">
        <v>0</v>
      </c>
      <c r="X4" s="19">
        <v>0</v>
      </c>
      <c r="Y4" s="19">
        <v>0</v>
      </c>
      <c r="Z4" s="19">
        <v>0</v>
      </c>
      <c r="AA4" s="19">
        <v>0</v>
      </c>
      <c r="AB4" s="19">
        <v>0</v>
      </c>
      <c r="AC4" s="19">
        <v>0</v>
      </c>
      <c r="AD4" s="19">
        <v>0</v>
      </c>
      <c r="AE4" s="19">
        <v>0</v>
      </c>
      <c r="AF4" s="19">
        <v>0</v>
      </c>
      <c r="AG4" s="19">
        <v>0</v>
      </c>
      <c r="AH4" s="19">
        <v>0</v>
      </c>
      <c r="AI4" s="19">
        <v>0</v>
      </c>
      <c r="AJ4" s="19">
        <v>0</v>
      </c>
      <c r="AK4" s="19">
        <f>SUM(WeeklyExpenditure[[#This Row],[FOOD, WATER AND DRINKS]:[MISCELLANEOUS (Soap, Washing Powder, Others)]])</f>
        <v>0</v>
      </c>
    </row>
    <row r="5" spans="1:37" x14ac:dyDescent="0.25">
      <c r="A5" s="8">
        <f t="shared" si="0"/>
        <v>44226</v>
      </c>
      <c r="B5" s="19">
        <v>138</v>
      </c>
      <c r="C5" s="19">
        <v>0</v>
      </c>
      <c r="D5" s="19">
        <v>60</v>
      </c>
      <c r="E5" s="19">
        <v>0</v>
      </c>
      <c r="F5" s="19">
        <v>0</v>
      </c>
      <c r="G5" s="19">
        <v>0</v>
      </c>
      <c r="H5" s="20">
        <v>0</v>
      </c>
      <c r="I5" s="20">
        <v>0</v>
      </c>
      <c r="J5" s="19">
        <v>0</v>
      </c>
      <c r="K5" s="19">
        <v>0</v>
      </c>
      <c r="L5" s="19">
        <v>0</v>
      </c>
      <c r="M5" s="19">
        <v>0</v>
      </c>
      <c r="N5" s="19">
        <v>0</v>
      </c>
      <c r="O5" s="19">
        <v>0</v>
      </c>
      <c r="P5" s="19">
        <v>0</v>
      </c>
      <c r="Q5" s="19">
        <v>0</v>
      </c>
      <c r="R5" s="19">
        <v>0</v>
      </c>
      <c r="S5" s="19">
        <v>200</v>
      </c>
      <c r="T5" s="19">
        <v>0</v>
      </c>
      <c r="U5" s="19">
        <v>0</v>
      </c>
      <c r="V5" s="19">
        <v>0</v>
      </c>
      <c r="W5" s="19">
        <v>0</v>
      </c>
      <c r="X5" s="19">
        <v>0</v>
      </c>
      <c r="Y5" s="19">
        <v>0</v>
      </c>
      <c r="Z5" s="19">
        <v>0</v>
      </c>
      <c r="AA5" s="19">
        <v>0</v>
      </c>
      <c r="AB5" s="19">
        <v>0</v>
      </c>
      <c r="AC5" s="19">
        <v>0</v>
      </c>
      <c r="AD5" s="19">
        <v>0</v>
      </c>
      <c r="AE5" s="19">
        <v>0</v>
      </c>
      <c r="AF5" s="19">
        <v>0</v>
      </c>
      <c r="AG5" s="19">
        <v>0</v>
      </c>
      <c r="AH5" s="19">
        <v>0</v>
      </c>
      <c r="AI5" s="19">
        <v>0</v>
      </c>
      <c r="AJ5" s="19">
        <v>0</v>
      </c>
      <c r="AK5" s="19">
        <f>SUM(WeeklyExpenditure[[#This Row],[FOOD, WATER AND DRINKS]:[MISCELLANEOUS (Soap, Washing Powder, Others)]])</f>
        <v>398</v>
      </c>
    </row>
    <row r="6" spans="1:37" hidden="1" x14ac:dyDescent="0.25">
      <c r="A6" s="8">
        <f t="shared" si="0"/>
        <v>44233</v>
      </c>
      <c r="B6" s="19">
        <v>0</v>
      </c>
      <c r="C6" s="19">
        <v>0</v>
      </c>
      <c r="D6" s="19">
        <v>0</v>
      </c>
      <c r="E6" s="19">
        <v>0</v>
      </c>
      <c r="F6" s="19">
        <v>0</v>
      </c>
      <c r="G6" s="19">
        <v>0</v>
      </c>
      <c r="H6" s="20">
        <v>0</v>
      </c>
      <c r="I6" s="20">
        <v>0</v>
      </c>
      <c r="J6" s="19">
        <v>0</v>
      </c>
      <c r="K6" s="19">
        <v>0</v>
      </c>
      <c r="L6" s="19">
        <v>0</v>
      </c>
      <c r="M6" s="19">
        <v>0</v>
      </c>
      <c r="N6" s="19">
        <v>0</v>
      </c>
      <c r="O6" s="19">
        <v>0</v>
      </c>
      <c r="P6" s="19">
        <v>0</v>
      </c>
      <c r="Q6" s="19">
        <v>0</v>
      </c>
      <c r="R6" s="19">
        <v>0</v>
      </c>
      <c r="S6" s="19">
        <v>0</v>
      </c>
      <c r="T6" s="19">
        <v>0</v>
      </c>
      <c r="U6" s="19">
        <v>0</v>
      </c>
      <c r="V6" s="19">
        <v>0</v>
      </c>
      <c r="W6" s="19">
        <v>0</v>
      </c>
      <c r="X6" s="19">
        <v>0</v>
      </c>
      <c r="Y6" s="19">
        <v>0</v>
      </c>
      <c r="Z6" s="19">
        <v>0</v>
      </c>
      <c r="AA6" s="19">
        <v>0</v>
      </c>
      <c r="AB6" s="19">
        <v>0</v>
      </c>
      <c r="AC6" s="19">
        <v>0</v>
      </c>
      <c r="AD6" s="19">
        <v>0</v>
      </c>
      <c r="AE6" s="19">
        <v>0</v>
      </c>
      <c r="AF6" s="19">
        <v>0</v>
      </c>
      <c r="AG6" s="19">
        <v>0</v>
      </c>
      <c r="AH6" s="19">
        <v>0</v>
      </c>
      <c r="AI6" s="19">
        <v>0</v>
      </c>
      <c r="AJ6" s="19">
        <v>0</v>
      </c>
      <c r="AK6" s="19">
        <f>SUM(WeeklyExpenditure[[#This Row],[FOOD, WATER AND DRINKS]:[MISCELLANEOUS (Soap, Washing Powder, Others)]])</f>
        <v>0</v>
      </c>
    </row>
    <row r="7" spans="1:37" hidden="1" x14ac:dyDescent="0.25">
      <c r="A7" s="8">
        <f t="shared" si="0"/>
        <v>44240</v>
      </c>
      <c r="B7" s="19">
        <v>20</v>
      </c>
      <c r="C7" s="19">
        <v>0</v>
      </c>
      <c r="D7" s="19">
        <v>51</v>
      </c>
      <c r="E7" s="19">
        <v>120</v>
      </c>
      <c r="F7" s="19">
        <v>60</v>
      </c>
      <c r="G7" s="19">
        <v>0</v>
      </c>
      <c r="H7" s="20">
        <v>0</v>
      </c>
      <c r="I7" s="20">
        <v>0</v>
      </c>
      <c r="J7" s="19">
        <v>0</v>
      </c>
      <c r="K7" s="19">
        <v>0</v>
      </c>
      <c r="L7" s="19">
        <v>0</v>
      </c>
      <c r="M7" s="19">
        <v>0</v>
      </c>
      <c r="N7" s="19">
        <v>0</v>
      </c>
      <c r="O7" s="19">
        <v>0</v>
      </c>
      <c r="P7" s="19">
        <v>0</v>
      </c>
      <c r="Q7" s="19">
        <v>0</v>
      </c>
      <c r="R7" s="19">
        <v>0</v>
      </c>
      <c r="S7" s="19">
        <v>0</v>
      </c>
      <c r="T7" s="19">
        <v>50</v>
      </c>
      <c r="U7" s="19">
        <v>0</v>
      </c>
      <c r="V7" s="19">
        <v>9</v>
      </c>
      <c r="W7" s="19">
        <v>0</v>
      </c>
      <c r="X7" s="19">
        <v>0</v>
      </c>
      <c r="Y7" s="19">
        <v>0</v>
      </c>
      <c r="Z7" s="19">
        <v>0</v>
      </c>
      <c r="AA7" s="19">
        <v>0</v>
      </c>
      <c r="AB7" s="19">
        <v>0</v>
      </c>
      <c r="AC7" s="19">
        <v>0</v>
      </c>
      <c r="AD7" s="19">
        <v>0</v>
      </c>
      <c r="AE7" s="19">
        <v>0</v>
      </c>
      <c r="AF7" s="19">
        <v>0</v>
      </c>
      <c r="AG7" s="19">
        <v>0</v>
      </c>
      <c r="AH7" s="19">
        <v>0</v>
      </c>
      <c r="AI7" s="19">
        <v>0</v>
      </c>
      <c r="AJ7" s="19">
        <v>0</v>
      </c>
      <c r="AK7" s="19">
        <f>SUM(WeeklyExpenditure[[#This Row],[FOOD, WATER AND DRINKS]:[MISCELLANEOUS (Soap, Washing Powder, Others)]])</f>
        <v>310</v>
      </c>
    </row>
    <row r="8" spans="1:37" s="11" customFormat="1" hidden="1" x14ac:dyDescent="0.25">
      <c r="A8" s="14">
        <f t="shared" si="0"/>
        <v>44247</v>
      </c>
      <c r="B8" s="20">
        <v>0</v>
      </c>
      <c r="C8" s="20">
        <v>0</v>
      </c>
      <c r="D8" s="20">
        <v>0</v>
      </c>
      <c r="E8" s="20">
        <v>0</v>
      </c>
      <c r="F8" s="20">
        <v>0</v>
      </c>
      <c r="G8" s="20">
        <v>24</v>
      </c>
      <c r="H8" s="20">
        <v>0</v>
      </c>
      <c r="I8" s="20">
        <v>0</v>
      </c>
      <c r="J8" s="20">
        <v>330</v>
      </c>
      <c r="K8" s="20">
        <v>600</v>
      </c>
      <c r="L8" s="20">
        <v>0</v>
      </c>
      <c r="M8" s="20">
        <v>4957</v>
      </c>
      <c r="N8" s="20">
        <v>280</v>
      </c>
      <c r="O8" s="20">
        <v>0</v>
      </c>
      <c r="P8" s="20">
        <v>0</v>
      </c>
      <c r="Q8" s="20">
        <v>0</v>
      </c>
      <c r="R8" s="20">
        <v>0</v>
      </c>
      <c r="S8" s="20">
        <v>0</v>
      </c>
      <c r="T8" s="20">
        <v>0</v>
      </c>
      <c r="U8" s="20">
        <v>0</v>
      </c>
      <c r="V8" s="20">
        <v>0</v>
      </c>
      <c r="W8" s="20">
        <v>210</v>
      </c>
      <c r="X8" s="20">
        <v>0</v>
      </c>
      <c r="Y8" s="20">
        <v>0</v>
      </c>
      <c r="Z8" s="20">
        <v>0</v>
      </c>
      <c r="AA8" s="20">
        <v>0</v>
      </c>
      <c r="AB8" s="20">
        <v>0</v>
      </c>
      <c r="AC8" s="20">
        <v>0</v>
      </c>
      <c r="AD8" s="20">
        <v>0</v>
      </c>
      <c r="AE8" s="20">
        <v>0</v>
      </c>
      <c r="AF8" s="20">
        <v>0</v>
      </c>
      <c r="AG8" s="20">
        <v>0</v>
      </c>
      <c r="AH8" s="20">
        <v>0</v>
      </c>
      <c r="AI8" s="20">
        <v>0</v>
      </c>
      <c r="AJ8" s="20">
        <v>0</v>
      </c>
      <c r="AK8" s="19">
        <f>SUM(WeeklyExpenditure[[#This Row],[FOOD, WATER AND DRINKS]:[MISCELLANEOUS (Soap, Washing Powder, Others)]])</f>
        <v>6401</v>
      </c>
    </row>
    <row r="9" spans="1:37" hidden="1" x14ac:dyDescent="0.25">
      <c r="A9" s="8">
        <f t="shared" si="0"/>
        <v>44254</v>
      </c>
      <c r="B9" s="19">
        <v>20</v>
      </c>
      <c r="C9" s="19">
        <v>0</v>
      </c>
      <c r="D9" s="19">
        <v>0</v>
      </c>
      <c r="E9" s="19">
        <v>76</v>
      </c>
      <c r="F9" s="19">
        <v>40</v>
      </c>
      <c r="G9" s="19">
        <v>0</v>
      </c>
      <c r="H9" s="20">
        <v>0</v>
      </c>
      <c r="I9" s="20">
        <v>0</v>
      </c>
      <c r="J9" s="19">
        <v>0</v>
      </c>
      <c r="K9" s="19">
        <v>0</v>
      </c>
      <c r="L9" s="19">
        <v>0</v>
      </c>
      <c r="M9" s="19">
        <v>0</v>
      </c>
      <c r="N9" s="19">
        <v>0</v>
      </c>
      <c r="O9" s="19">
        <v>0</v>
      </c>
      <c r="P9" s="19">
        <v>0</v>
      </c>
      <c r="Q9" s="19">
        <v>0</v>
      </c>
      <c r="R9" s="19">
        <v>0</v>
      </c>
      <c r="S9" s="19">
        <v>0</v>
      </c>
      <c r="T9" s="19">
        <v>0</v>
      </c>
      <c r="U9" s="19">
        <v>0</v>
      </c>
      <c r="V9" s="19">
        <v>0</v>
      </c>
      <c r="W9" s="19">
        <v>200</v>
      </c>
      <c r="X9" s="19">
        <v>0</v>
      </c>
      <c r="Y9" s="19">
        <v>0</v>
      </c>
      <c r="Z9" s="19">
        <v>73</v>
      </c>
      <c r="AA9" s="19">
        <v>0</v>
      </c>
      <c r="AB9" s="19">
        <v>0</v>
      </c>
      <c r="AC9" s="19">
        <v>0</v>
      </c>
      <c r="AD9" s="19">
        <v>0</v>
      </c>
      <c r="AE9" s="19">
        <v>0</v>
      </c>
      <c r="AF9" s="19">
        <v>0</v>
      </c>
      <c r="AG9" s="19">
        <v>0</v>
      </c>
      <c r="AH9" s="19">
        <v>0</v>
      </c>
      <c r="AI9" s="19">
        <v>0</v>
      </c>
      <c r="AJ9" s="19">
        <v>20</v>
      </c>
      <c r="AK9" s="19">
        <f>SUM(WeeklyExpenditure[[#This Row],[FOOD, WATER AND DRINKS]:[MISCELLANEOUS (Soap, Washing Powder, Others)]])</f>
        <v>429</v>
      </c>
    </row>
    <row r="10" spans="1:37" hidden="1" x14ac:dyDescent="0.25">
      <c r="A10" s="8">
        <f t="shared" si="0"/>
        <v>44261</v>
      </c>
      <c r="B10" s="19">
        <v>0</v>
      </c>
      <c r="C10" s="19">
        <v>0</v>
      </c>
      <c r="D10" s="19">
        <v>0</v>
      </c>
      <c r="E10" s="19">
        <v>0</v>
      </c>
      <c r="F10" s="19">
        <v>0</v>
      </c>
      <c r="G10" s="19">
        <v>0</v>
      </c>
      <c r="H10" s="20">
        <v>0</v>
      </c>
      <c r="I10" s="20">
        <v>0</v>
      </c>
      <c r="J10" s="19">
        <v>0</v>
      </c>
      <c r="K10" s="19">
        <v>0</v>
      </c>
      <c r="L10" s="19">
        <v>0</v>
      </c>
      <c r="M10" s="19">
        <v>0</v>
      </c>
      <c r="N10" s="19">
        <v>0</v>
      </c>
      <c r="O10" s="19">
        <v>0</v>
      </c>
      <c r="P10" s="19">
        <v>0</v>
      </c>
      <c r="Q10" s="19">
        <v>0</v>
      </c>
      <c r="R10" s="19">
        <v>0</v>
      </c>
      <c r="S10" s="19">
        <v>0</v>
      </c>
      <c r="T10" s="19">
        <v>0</v>
      </c>
      <c r="U10" s="19">
        <v>0</v>
      </c>
      <c r="V10" s="19">
        <v>0</v>
      </c>
      <c r="W10" s="19">
        <v>0</v>
      </c>
      <c r="X10" s="19">
        <v>0</v>
      </c>
      <c r="Y10" s="19">
        <v>0</v>
      </c>
      <c r="Z10" s="19">
        <v>0</v>
      </c>
      <c r="AA10" s="19">
        <v>0</v>
      </c>
      <c r="AB10" s="19">
        <v>0</v>
      </c>
      <c r="AC10" s="19">
        <v>0</v>
      </c>
      <c r="AD10" s="19">
        <v>0</v>
      </c>
      <c r="AE10" s="19">
        <v>0</v>
      </c>
      <c r="AF10" s="19">
        <v>0</v>
      </c>
      <c r="AG10" s="19">
        <v>0</v>
      </c>
      <c r="AH10" s="19">
        <v>0</v>
      </c>
      <c r="AI10" s="19">
        <v>0</v>
      </c>
      <c r="AJ10" s="19">
        <v>0</v>
      </c>
      <c r="AK10" s="19">
        <f>SUM(WeeklyExpenditure[[#This Row],[FOOD, WATER AND DRINKS]:[MISCELLANEOUS (Soap, Washing Powder, Others)]])</f>
        <v>0</v>
      </c>
    </row>
    <row r="11" spans="1:37" hidden="1" x14ac:dyDescent="0.25">
      <c r="A11" s="8">
        <f t="shared" si="0"/>
        <v>44268</v>
      </c>
      <c r="B11" s="19">
        <v>20</v>
      </c>
      <c r="C11" s="19">
        <v>0</v>
      </c>
      <c r="D11" s="19">
        <v>0</v>
      </c>
      <c r="E11" s="19">
        <v>30</v>
      </c>
      <c r="F11" s="19">
        <v>200</v>
      </c>
      <c r="G11" s="19">
        <v>0</v>
      </c>
      <c r="H11" s="20">
        <v>0</v>
      </c>
      <c r="I11" s="20">
        <v>0</v>
      </c>
      <c r="J11" s="19">
        <v>0</v>
      </c>
      <c r="K11" s="19">
        <v>0</v>
      </c>
      <c r="L11" s="19">
        <v>0</v>
      </c>
      <c r="M11" s="19">
        <v>0</v>
      </c>
      <c r="N11" s="19">
        <v>0</v>
      </c>
      <c r="O11" s="19">
        <v>0</v>
      </c>
      <c r="P11" s="19">
        <v>0</v>
      </c>
      <c r="Q11" s="19">
        <v>0</v>
      </c>
      <c r="R11" s="19">
        <v>70</v>
      </c>
      <c r="S11" s="19">
        <v>0</v>
      </c>
      <c r="T11" s="19">
        <v>0</v>
      </c>
      <c r="U11" s="19">
        <v>0</v>
      </c>
      <c r="V11" s="19">
        <v>25</v>
      </c>
      <c r="W11" s="19">
        <v>0</v>
      </c>
      <c r="X11" s="19">
        <v>0</v>
      </c>
      <c r="Y11" s="19">
        <v>0</v>
      </c>
      <c r="Z11" s="19">
        <v>0</v>
      </c>
      <c r="AA11" s="19">
        <v>0</v>
      </c>
      <c r="AB11" s="19">
        <v>0</v>
      </c>
      <c r="AC11" s="19">
        <v>0</v>
      </c>
      <c r="AD11" s="19">
        <v>0</v>
      </c>
      <c r="AE11" s="19">
        <v>0</v>
      </c>
      <c r="AF11" s="19">
        <v>0</v>
      </c>
      <c r="AG11" s="19">
        <v>0</v>
      </c>
      <c r="AH11" s="19">
        <v>0</v>
      </c>
      <c r="AI11" s="19">
        <v>0</v>
      </c>
      <c r="AJ11" s="19">
        <v>144</v>
      </c>
      <c r="AK11" s="19">
        <f>SUM(WeeklyExpenditure[[#This Row],[FOOD, WATER AND DRINKS]:[MISCELLANEOUS (Soap, Washing Powder, Others)]])</f>
        <v>489</v>
      </c>
    </row>
    <row r="12" spans="1:37" hidden="1" x14ac:dyDescent="0.25">
      <c r="A12" s="8">
        <f t="shared" si="0"/>
        <v>44275</v>
      </c>
      <c r="B12" s="19">
        <v>0</v>
      </c>
      <c r="C12" s="19">
        <v>0</v>
      </c>
      <c r="D12" s="19">
        <v>0</v>
      </c>
      <c r="E12" s="19">
        <v>0</v>
      </c>
      <c r="F12" s="19">
        <v>0</v>
      </c>
      <c r="G12" s="19">
        <v>0</v>
      </c>
      <c r="H12" s="20">
        <v>0</v>
      </c>
      <c r="I12" s="20">
        <v>0</v>
      </c>
      <c r="J12" s="19">
        <v>0</v>
      </c>
      <c r="K12" s="19">
        <v>0</v>
      </c>
      <c r="L12" s="19">
        <v>0</v>
      </c>
      <c r="M12" s="19">
        <v>0</v>
      </c>
      <c r="N12" s="19">
        <v>0</v>
      </c>
      <c r="O12" s="19">
        <v>0</v>
      </c>
      <c r="P12" s="19">
        <v>0</v>
      </c>
      <c r="Q12" s="19">
        <v>0</v>
      </c>
      <c r="R12" s="19">
        <v>0</v>
      </c>
      <c r="S12" s="19">
        <v>0</v>
      </c>
      <c r="T12" s="19">
        <v>0</v>
      </c>
      <c r="U12" s="19">
        <v>0</v>
      </c>
      <c r="V12" s="19">
        <v>0</v>
      </c>
      <c r="W12" s="19">
        <v>0</v>
      </c>
      <c r="X12" s="19">
        <v>0</v>
      </c>
      <c r="Y12" s="19">
        <v>0</v>
      </c>
      <c r="Z12" s="19">
        <v>0</v>
      </c>
      <c r="AA12" s="19">
        <v>0</v>
      </c>
      <c r="AB12" s="19">
        <v>0</v>
      </c>
      <c r="AC12" s="19">
        <v>0</v>
      </c>
      <c r="AD12" s="19">
        <v>0</v>
      </c>
      <c r="AE12" s="19">
        <v>0</v>
      </c>
      <c r="AF12" s="19">
        <v>0</v>
      </c>
      <c r="AG12" s="19">
        <v>0</v>
      </c>
      <c r="AH12" s="19">
        <v>0</v>
      </c>
      <c r="AI12" s="19">
        <v>0</v>
      </c>
      <c r="AJ12" s="19">
        <v>0</v>
      </c>
      <c r="AK12" s="19">
        <f>SUM(WeeklyExpenditure[[#This Row],[FOOD, WATER AND DRINKS]:[MISCELLANEOUS (Soap, Washing Powder, Others)]])</f>
        <v>0</v>
      </c>
    </row>
    <row r="13" spans="1:37" s="15" customFormat="1" hidden="1" x14ac:dyDescent="0.25">
      <c r="A13" s="8">
        <f t="shared" si="0"/>
        <v>44282</v>
      </c>
      <c r="B13" s="19">
        <v>0</v>
      </c>
      <c r="C13" s="19">
        <v>0</v>
      </c>
      <c r="D13" s="19">
        <v>0</v>
      </c>
      <c r="E13" s="19">
        <v>80</v>
      </c>
      <c r="F13" s="19">
        <v>0</v>
      </c>
      <c r="G13" s="19">
        <v>0</v>
      </c>
      <c r="H13" s="20">
        <v>320</v>
      </c>
      <c r="I13" s="20">
        <v>0</v>
      </c>
      <c r="J13" s="19">
        <v>0</v>
      </c>
      <c r="K13" s="19">
        <v>0</v>
      </c>
      <c r="L13" s="19">
        <v>700</v>
      </c>
      <c r="M13" s="19">
        <v>0</v>
      </c>
      <c r="N13" s="19">
        <v>0</v>
      </c>
      <c r="O13" s="19">
        <v>0</v>
      </c>
      <c r="P13" s="19">
        <v>0</v>
      </c>
      <c r="Q13" s="19">
        <v>0</v>
      </c>
      <c r="R13" s="19">
        <v>0</v>
      </c>
      <c r="S13" s="19">
        <v>0</v>
      </c>
      <c r="T13" s="19">
        <v>0</v>
      </c>
      <c r="U13" s="19">
        <v>0</v>
      </c>
      <c r="V13" s="19">
        <v>0</v>
      </c>
      <c r="W13" s="19">
        <v>200</v>
      </c>
      <c r="X13" s="19">
        <v>2949.99</v>
      </c>
      <c r="Y13" s="19">
        <v>0</v>
      </c>
      <c r="Z13" s="19">
        <v>0</v>
      </c>
      <c r="AA13" s="19">
        <v>0</v>
      </c>
      <c r="AB13" s="19">
        <v>0</v>
      </c>
      <c r="AC13" s="19">
        <v>0</v>
      </c>
      <c r="AD13" s="19">
        <v>0</v>
      </c>
      <c r="AE13" s="19">
        <v>0</v>
      </c>
      <c r="AF13" s="19">
        <v>0</v>
      </c>
      <c r="AG13" s="19">
        <v>0</v>
      </c>
      <c r="AH13" s="19">
        <v>0</v>
      </c>
      <c r="AI13" s="19">
        <v>0</v>
      </c>
      <c r="AJ13" s="19">
        <v>0</v>
      </c>
      <c r="AK13" s="19">
        <f>SUM(WeeklyExpenditure[[#This Row],[FOOD, WATER AND DRINKS]:[MISCELLANEOUS (Soap, Washing Powder, Others)]])</f>
        <v>4249.99</v>
      </c>
    </row>
    <row r="14" spans="1:37" s="15" customFormat="1" hidden="1" x14ac:dyDescent="0.25">
      <c r="A14" s="8">
        <f t="shared" si="0"/>
        <v>44289</v>
      </c>
      <c r="B14" s="17">
        <v>137</v>
      </c>
      <c r="C14" s="17">
        <v>0</v>
      </c>
      <c r="D14" s="17">
        <v>0</v>
      </c>
      <c r="E14" s="17">
        <v>30</v>
      </c>
      <c r="F14" s="17">
        <v>120</v>
      </c>
      <c r="G14" s="17">
        <v>0</v>
      </c>
      <c r="H14" s="18">
        <v>0</v>
      </c>
      <c r="I14" s="18">
        <v>0</v>
      </c>
      <c r="J14" s="17">
        <v>0</v>
      </c>
      <c r="K14" s="17">
        <v>0</v>
      </c>
      <c r="L14" s="17">
        <v>0</v>
      </c>
      <c r="M14" s="17">
        <v>0</v>
      </c>
      <c r="N14" s="17">
        <v>130</v>
      </c>
      <c r="O14" s="17">
        <v>30</v>
      </c>
      <c r="P14" s="17">
        <v>30</v>
      </c>
      <c r="Q14" s="17">
        <v>0</v>
      </c>
      <c r="R14" s="17">
        <v>0</v>
      </c>
      <c r="S14" s="17">
        <v>0</v>
      </c>
      <c r="T14" s="17">
        <v>100</v>
      </c>
      <c r="U14" s="17">
        <v>0</v>
      </c>
      <c r="V14" s="17">
        <v>0</v>
      </c>
      <c r="W14" s="17">
        <v>0</v>
      </c>
      <c r="X14" s="17">
        <v>0</v>
      </c>
      <c r="Y14" s="17">
        <v>0</v>
      </c>
      <c r="Z14" s="17">
        <v>0</v>
      </c>
      <c r="AA14" s="17">
        <v>0</v>
      </c>
      <c r="AB14" s="17">
        <v>0</v>
      </c>
      <c r="AC14" s="17">
        <v>0</v>
      </c>
      <c r="AD14" s="17">
        <v>0</v>
      </c>
      <c r="AE14" s="17">
        <v>0</v>
      </c>
      <c r="AF14" s="17">
        <v>0</v>
      </c>
      <c r="AG14" s="17">
        <v>0</v>
      </c>
      <c r="AH14" s="17">
        <v>0</v>
      </c>
      <c r="AI14" s="17">
        <v>0</v>
      </c>
      <c r="AJ14" s="17">
        <v>0</v>
      </c>
      <c r="AK14" s="19">
        <f>SUM(WeeklyExpenditure[[#This Row],[FOOD, WATER AND DRINKS]:[MISCELLANEOUS (Soap, Washing Powder, Others)]])</f>
        <v>577</v>
      </c>
    </row>
    <row r="15" spans="1:37" hidden="1" x14ac:dyDescent="0.25">
      <c r="A15" s="8">
        <f t="shared" si="0"/>
        <v>44296</v>
      </c>
      <c r="B15" s="19">
        <v>0</v>
      </c>
      <c r="C15" s="19">
        <v>0</v>
      </c>
      <c r="D15" s="19">
        <v>0</v>
      </c>
      <c r="E15" s="19">
        <v>0</v>
      </c>
      <c r="F15" s="19">
        <v>0</v>
      </c>
      <c r="G15" s="19">
        <v>0</v>
      </c>
      <c r="H15" s="20">
        <v>0</v>
      </c>
      <c r="I15" s="20">
        <v>0</v>
      </c>
      <c r="J15" s="19">
        <v>0</v>
      </c>
      <c r="K15" s="19">
        <v>0</v>
      </c>
      <c r="L15" s="19">
        <v>0</v>
      </c>
      <c r="M15" s="19">
        <v>0</v>
      </c>
      <c r="N15" s="19">
        <v>0</v>
      </c>
      <c r="O15" s="19">
        <v>0</v>
      </c>
      <c r="P15" s="19">
        <v>0</v>
      </c>
      <c r="Q15" s="19">
        <v>0</v>
      </c>
      <c r="R15" s="19">
        <v>0</v>
      </c>
      <c r="S15" s="19">
        <v>0</v>
      </c>
      <c r="T15" s="19">
        <v>0</v>
      </c>
      <c r="U15" s="19">
        <v>0</v>
      </c>
      <c r="V15" s="19">
        <v>0</v>
      </c>
      <c r="W15" s="19">
        <v>0</v>
      </c>
      <c r="X15" s="19">
        <v>0</v>
      </c>
      <c r="Y15" s="19">
        <v>0</v>
      </c>
      <c r="Z15" s="19">
        <v>0</v>
      </c>
      <c r="AA15" s="19">
        <v>0</v>
      </c>
      <c r="AB15" s="19">
        <v>0</v>
      </c>
      <c r="AC15" s="19">
        <v>0</v>
      </c>
      <c r="AD15" s="19">
        <v>0</v>
      </c>
      <c r="AE15" s="19">
        <v>0</v>
      </c>
      <c r="AF15" s="19">
        <v>0</v>
      </c>
      <c r="AG15" s="19">
        <v>0</v>
      </c>
      <c r="AH15" s="19">
        <v>0</v>
      </c>
      <c r="AI15" s="19">
        <v>0</v>
      </c>
      <c r="AJ15" s="19">
        <v>0</v>
      </c>
      <c r="AK15" s="19">
        <f>SUM(WeeklyExpenditure[[#This Row],[FOOD, WATER AND DRINKS]:[MISCELLANEOUS (Soap, Washing Powder, Others)]])</f>
        <v>0</v>
      </c>
    </row>
    <row r="16" spans="1:37" hidden="1" x14ac:dyDescent="0.25">
      <c r="A16" s="8">
        <f t="shared" si="0"/>
        <v>44303</v>
      </c>
      <c r="B16" s="19">
        <v>0</v>
      </c>
      <c r="C16" s="19">
        <v>0</v>
      </c>
      <c r="D16" s="19">
        <v>0</v>
      </c>
      <c r="E16" s="19">
        <v>0</v>
      </c>
      <c r="F16" s="19">
        <v>0</v>
      </c>
      <c r="G16" s="19">
        <v>0</v>
      </c>
      <c r="H16" s="20">
        <v>0</v>
      </c>
      <c r="I16" s="20">
        <v>0</v>
      </c>
      <c r="J16" s="19">
        <v>0</v>
      </c>
      <c r="K16" s="19">
        <v>0</v>
      </c>
      <c r="L16" s="19">
        <v>0</v>
      </c>
      <c r="M16" s="19">
        <v>0</v>
      </c>
      <c r="N16" s="19">
        <v>30</v>
      </c>
      <c r="O16" s="19">
        <v>0</v>
      </c>
      <c r="P16" s="19">
        <v>0</v>
      </c>
      <c r="Q16" s="19">
        <v>0</v>
      </c>
      <c r="R16" s="19">
        <v>50</v>
      </c>
      <c r="S16" s="19">
        <v>100</v>
      </c>
      <c r="T16" s="19">
        <v>0</v>
      </c>
      <c r="U16" s="19">
        <v>0</v>
      </c>
      <c r="V16" s="19">
        <v>0</v>
      </c>
      <c r="W16" s="19">
        <v>55</v>
      </c>
      <c r="X16" s="19">
        <v>0</v>
      </c>
      <c r="Y16" s="19">
        <v>0</v>
      </c>
      <c r="Z16" s="19">
        <v>200</v>
      </c>
      <c r="AA16" s="19">
        <v>0</v>
      </c>
      <c r="AB16" s="19">
        <v>0</v>
      </c>
      <c r="AC16" s="19">
        <v>0</v>
      </c>
      <c r="AD16" s="19">
        <v>0</v>
      </c>
      <c r="AE16" s="19">
        <v>0</v>
      </c>
      <c r="AF16" s="19">
        <v>0</v>
      </c>
      <c r="AG16" s="19">
        <v>0</v>
      </c>
      <c r="AH16" s="19">
        <v>0</v>
      </c>
      <c r="AI16" s="19">
        <v>0</v>
      </c>
      <c r="AJ16" s="19">
        <v>0</v>
      </c>
      <c r="AK16" s="19">
        <f>SUM(WeeklyExpenditure[[#This Row],[FOOD, WATER AND DRINKS]:[MISCELLANEOUS (Soap, Washing Powder, Others)]])</f>
        <v>435</v>
      </c>
    </row>
    <row r="17" spans="1:37" s="15" customFormat="1" hidden="1" x14ac:dyDescent="0.25">
      <c r="A17" s="8">
        <f t="shared" si="0"/>
        <v>44310</v>
      </c>
      <c r="B17" s="17">
        <v>0</v>
      </c>
      <c r="C17" s="17">
        <v>0</v>
      </c>
      <c r="D17" s="17">
        <v>0</v>
      </c>
      <c r="E17" s="17">
        <v>0</v>
      </c>
      <c r="F17" s="17">
        <v>0</v>
      </c>
      <c r="G17" s="17">
        <v>0</v>
      </c>
      <c r="H17" s="18">
        <v>0</v>
      </c>
      <c r="I17" s="18">
        <v>0</v>
      </c>
      <c r="J17" s="17">
        <v>0</v>
      </c>
      <c r="K17" s="17">
        <v>0</v>
      </c>
      <c r="L17" s="17">
        <v>0</v>
      </c>
      <c r="M17" s="17">
        <v>0</v>
      </c>
      <c r="N17" s="17">
        <v>0</v>
      </c>
      <c r="O17" s="17">
        <v>0</v>
      </c>
      <c r="P17" s="17">
        <v>0</v>
      </c>
      <c r="Q17" s="17">
        <v>0</v>
      </c>
      <c r="R17" s="17">
        <v>0</v>
      </c>
      <c r="S17" s="17">
        <v>0</v>
      </c>
      <c r="T17" s="17">
        <v>70</v>
      </c>
      <c r="U17" s="17">
        <v>0</v>
      </c>
      <c r="V17" s="17">
        <v>0</v>
      </c>
      <c r="W17" s="17">
        <v>0</v>
      </c>
      <c r="X17" s="17">
        <v>0</v>
      </c>
      <c r="Y17" s="17">
        <v>0</v>
      </c>
      <c r="Z17" s="17">
        <v>0</v>
      </c>
      <c r="AA17" s="17">
        <v>0</v>
      </c>
      <c r="AB17" s="17">
        <v>0</v>
      </c>
      <c r="AC17" s="17">
        <v>0</v>
      </c>
      <c r="AD17" s="17">
        <v>0</v>
      </c>
      <c r="AE17" s="17">
        <v>0</v>
      </c>
      <c r="AF17" s="17">
        <v>0</v>
      </c>
      <c r="AG17" s="17">
        <v>0</v>
      </c>
      <c r="AH17" s="17">
        <v>0</v>
      </c>
      <c r="AI17" s="17">
        <v>0</v>
      </c>
      <c r="AJ17" s="17">
        <v>0</v>
      </c>
      <c r="AK17" s="19">
        <f>SUM(WeeklyExpenditure[[#This Row],[FOOD, WATER AND DRINKS]:[MISCELLANEOUS (Soap, Washing Powder, Others)]])</f>
        <v>70</v>
      </c>
    </row>
    <row r="18" spans="1:37" s="15" customFormat="1" hidden="1" x14ac:dyDescent="0.25">
      <c r="A18" s="8">
        <f t="shared" si="0"/>
        <v>44317</v>
      </c>
      <c r="B18" s="17">
        <v>150</v>
      </c>
      <c r="C18" s="17">
        <v>0</v>
      </c>
      <c r="D18" s="17">
        <v>0</v>
      </c>
      <c r="E18" s="17">
        <v>0</v>
      </c>
      <c r="F18" s="17">
        <v>0</v>
      </c>
      <c r="G18" s="17">
        <v>0</v>
      </c>
      <c r="H18" s="18">
        <v>0</v>
      </c>
      <c r="I18" s="18">
        <v>0</v>
      </c>
      <c r="J18" s="17">
        <v>0</v>
      </c>
      <c r="K18" s="17">
        <v>0</v>
      </c>
      <c r="L18" s="17">
        <v>0</v>
      </c>
      <c r="M18" s="17">
        <v>0</v>
      </c>
      <c r="N18" s="17">
        <v>0</v>
      </c>
      <c r="O18" s="17">
        <v>0</v>
      </c>
      <c r="P18" s="17">
        <v>0</v>
      </c>
      <c r="Q18" s="17">
        <v>0</v>
      </c>
      <c r="R18" s="17">
        <v>0</v>
      </c>
      <c r="S18" s="17">
        <v>0</v>
      </c>
      <c r="T18" s="17">
        <v>110</v>
      </c>
      <c r="U18" s="17">
        <v>0</v>
      </c>
      <c r="V18" s="17">
        <v>0</v>
      </c>
      <c r="W18" s="17">
        <v>0</v>
      </c>
      <c r="X18" s="17">
        <v>0</v>
      </c>
      <c r="Y18" s="17">
        <v>0</v>
      </c>
      <c r="Z18" s="17">
        <v>0</v>
      </c>
      <c r="AA18" s="17">
        <v>0</v>
      </c>
      <c r="AB18" s="17">
        <v>0</v>
      </c>
      <c r="AC18" s="17">
        <v>0</v>
      </c>
      <c r="AD18" s="17">
        <v>0</v>
      </c>
      <c r="AE18" s="17">
        <v>0</v>
      </c>
      <c r="AF18" s="17">
        <v>0</v>
      </c>
      <c r="AG18" s="17">
        <v>0</v>
      </c>
      <c r="AH18" s="17">
        <v>0</v>
      </c>
      <c r="AI18" s="17">
        <v>0</v>
      </c>
      <c r="AJ18" s="17">
        <v>130</v>
      </c>
      <c r="AK18" s="19">
        <f>SUM(WeeklyExpenditure[[#This Row],[FOOD, WATER AND DRINKS]:[MISCELLANEOUS (Soap, Washing Powder, Others)]])</f>
        <v>390</v>
      </c>
    </row>
    <row r="19" spans="1:37" s="15" customFormat="1" hidden="1" x14ac:dyDescent="0.25">
      <c r="A19" s="8">
        <f t="shared" si="0"/>
        <v>44324</v>
      </c>
      <c r="B19" s="17">
        <v>50</v>
      </c>
      <c r="C19" s="17">
        <v>0</v>
      </c>
      <c r="D19" s="17">
        <v>0</v>
      </c>
      <c r="E19" s="17">
        <v>0</v>
      </c>
      <c r="F19" s="17">
        <v>150</v>
      </c>
      <c r="G19" s="17">
        <v>50</v>
      </c>
      <c r="H19" s="18">
        <v>0</v>
      </c>
      <c r="I19" s="18">
        <v>0</v>
      </c>
      <c r="J19" s="17">
        <v>0</v>
      </c>
      <c r="K19" s="17">
        <v>0</v>
      </c>
      <c r="L19" s="17">
        <v>0</v>
      </c>
      <c r="M19" s="17">
        <v>0</v>
      </c>
      <c r="N19" s="17">
        <v>150</v>
      </c>
      <c r="O19" s="17">
        <v>0</v>
      </c>
      <c r="P19" s="17">
        <v>0</v>
      </c>
      <c r="Q19" s="17">
        <v>0</v>
      </c>
      <c r="R19" s="17">
        <v>0</v>
      </c>
      <c r="S19" s="17">
        <v>0</v>
      </c>
      <c r="T19" s="17">
        <v>0</v>
      </c>
      <c r="U19" s="17">
        <v>0</v>
      </c>
      <c r="V19" s="17">
        <v>0</v>
      </c>
      <c r="W19" s="17">
        <v>0</v>
      </c>
      <c r="X19" s="17">
        <v>0</v>
      </c>
      <c r="Y19" s="17">
        <v>0</v>
      </c>
      <c r="Z19" s="17">
        <v>0</v>
      </c>
      <c r="AA19" s="17">
        <v>0</v>
      </c>
      <c r="AB19" s="17">
        <v>0</v>
      </c>
      <c r="AC19" s="17">
        <v>0</v>
      </c>
      <c r="AD19" s="17">
        <v>0</v>
      </c>
      <c r="AE19" s="17">
        <v>0</v>
      </c>
      <c r="AF19" s="17">
        <v>0</v>
      </c>
      <c r="AG19" s="17">
        <v>0</v>
      </c>
      <c r="AH19" s="17">
        <v>0</v>
      </c>
      <c r="AI19" s="17">
        <v>0</v>
      </c>
      <c r="AJ19" s="17">
        <v>0</v>
      </c>
      <c r="AK19" s="19">
        <f>SUM(WeeklyExpenditure[[#This Row],[FOOD, WATER AND DRINKS]:[MISCELLANEOUS (Soap, Washing Powder, Others)]])</f>
        <v>400</v>
      </c>
    </row>
    <row r="20" spans="1:37" s="15" customFormat="1" hidden="1" x14ac:dyDescent="0.25">
      <c r="A20" s="8">
        <f t="shared" si="0"/>
        <v>44331</v>
      </c>
      <c r="B20" s="17">
        <v>0</v>
      </c>
      <c r="C20" s="17">
        <v>0</v>
      </c>
      <c r="D20" s="17">
        <v>0</v>
      </c>
      <c r="E20" s="17">
        <v>0</v>
      </c>
      <c r="F20" s="17">
        <v>0</v>
      </c>
      <c r="G20" s="17">
        <v>0</v>
      </c>
      <c r="H20" s="18">
        <v>0</v>
      </c>
      <c r="I20" s="18">
        <v>0</v>
      </c>
      <c r="J20" s="17">
        <v>0</v>
      </c>
      <c r="K20" s="17">
        <v>0</v>
      </c>
      <c r="L20" s="17">
        <v>0</v>
      </c>
      <c r="M20" s="17">
        <v>0</v>
      </c>
      <c r="N20" s="17">
        <v>0</v>
      </c>
      <c r="O20" s="17">
        <v>0</v>
      </c>
      <c r="P20" s="17">
        <v>0</v>
      </c>
      <c r="Q20" s="17">
        <v>0</v>
      </c>
      <c r="R20" s="17">
        <v>0</v>
      </c>
      <c r="S20" s="17">
        <v>0</v>
      </c>
      <c r="T20" s="17">
        <v>0</v>
      </c>
      <c r="U20" s="17">
        <v>0</v>
      </c>
      <c r="V20" s="17">
        <v>550</v>
      </c>
      <c r="W20" s="17">
        <v>0</v>
      </c>
      <c r="X20" s="17">
        <v>0</v>
      </c>
      <c r="Y20" s="17">
        <v>0</v>
      </c>
      <c r="Z20" s="17">
        <v>50</v>
      </c>
      <c r="AA20" s="17">
        <v>0</v>
      </c>
      <c r="AB20" s="17">
        <v>0</v>
      </c>
      <c r="AC20" s="17">
        <v>0</v>
      </c>
      <c r="AD20" s="17">
        <v>0</v>
      </c>
      <c r="AE20" s="17">
        <v>0</v>
      </c>
      <c r="AF20" s="17">
        <v>0</v>
      </c>
      <c r="AG20" s="17">
        <v>0</v>
      </c>
      <c r="AH20" s="17">
        <v>0</v>
      </c>
      <c r="AI20" s="17">
        <v>0</v>
      </c>
      <c r="AJ20" s="17">
        <v>0</v>
      </c>
      <c r="AK20" s="19">
        <f>SUM(WeeklyExpenditure[[#This Row],[FOOD, WATER AND DRINKS]:[MISCELLANEOUS (Soap, Washing Powder, Others)]])</f>
        <v>600</v>
      </c>
    </row>
    <row r="21" spans="1:37" s="15" customFormat="1" hidden="1" x14ac:dyDescent="0.25">
      <c r="A21" s="8">
        <f t="shared" si="0"/>
        <v>44338</v>
      </c>
      <c r="B21" s="17">
        <v>0</v>
      </c>
      <c r="C21" s="17">
        <v>0</v>
      </c>
      <c r="D21" s="17">
        <v>0</v>
      </c>
      <c r="E21" s="17">
        <v>0</v>
      </c>
      <c r="F21" s="17">
        <v>0</v>
      </c>
      <c r="G21" s="17">
        <v>0</v>
      </c>
      <c r="H21" s="18">
        <v>0</v>
      </c>
      <c r="I21" s="18">
        <v>0</v>
      </c>
      <c r="J21" s="17">
        <v>0</v>
      </c>
      <c r="K21" s="17">
        <v>0</v>
      </c>
      <c r="L21" s="17">
        <v>0</v>
      </c>
      <c r="M21" s="17">
        <v>0</v>
      </c>
      <c r="N21" s="17">
        <v>0</v>
      </c>
      <c r="O21" s="17">
        <v>0</v>
      </c>
      <c r="P21" s="17">
        <v>0</v>
      </c>
      <c r="Q21" s="17">
        <v>0</v>
      </c>
      <c r="R21" s="17">
        <v>0</v>
      </c>
      <c r="S21" s="17">
        <v>0</v>
      </c>
      <c r="T21" s="17">
        <v>0</v>
      </c>
      <c r="U21" s="17">
        <v>0</v>
      </c>
      <c r="V21" s="17">
        <v>0</v>
      </c>
      <c r="W21" s="17">
        <v>0</v>
      </c>
      <c r="X21" s="17">
        <v>0</v>
      </c>
      <c r="Y21" s="17">
        <v>0</v>
      </c>
      <c r="Z21" s="17">
        <v>0</v>
      </c>
      <c r="AA21" s="17">
        <v>0</v>
      </c>
      <c r="AB21" s="17">
        <v>0</v>
      </c>
      <c r="AC21" s="17">
        <v>0</v>
      </c>
      <c r="AD21" s="17">
        <v>0</v>
      </c>
      <c r="AE21" s="17">
        <v>0</v>
      </c>
      <c r="AF21" s="17">
        <v>0</v>
      </c>
      <c r="AG21" s="17">
        <v>0</v>
      </c>
      <c r="AH21" s="17">
        <v>0</v>
      </c>
      <c r="AI21" s="17">
        <v>0</v>
      </c>
      <c r="AJ21" s="17">
        <v>0</v>
      </c>
      <c r="AK21" s="19">
        <f>SUM(WeeklyExpenditure[[#This Row],[FOOD, WATER AND DRINKS]:[MISCELLANEOUS (Soap, Washing Powder, Others)]])</f>
        <v>0</v>
      </c>
    </row>
    <row r="22" spans="1:37" s="15" customFormat="1" hidden="1" x14ac:dyDescent="0.25">
      <c r="A22" s="8">
        <f t="shared" si="0"/>
        <v>44345</v>
      </c>
      <c r="B22" s="17">
        <v>66</v>
      </c>
      <c r="C22" s="17">
        <v>0</v>
      </c>
      <c r="D22" s="17">
        <v>0</v>
      </c>
      <c r="E22" s="17">
        <v>50</v>
      </c>
      <c r="F22" s="17">
        <v>100</v>
      </c>
      <c r="G22" s="17">
        <v>0</v>
      </c>
      <c r="H22" s="18">
        <v>9210</v>
      </c>
      <c r="I22" s="18">
        <v>0</v>
      </c>
      <c r="J22" s="17">
        <v>0</v>
      </c>
      <c r="K22" s="17">
        <v>0</v>
      </c>
      <c r="L22" s="17">
        <v>0</v>
      </c>
      <c r="M22" s="17">
        <v>0</v>
      </c>
      <c r="N22" s="17">
        <v>0</v>
      </c>
      <c r="O22" s="17">
        <v>0</v>
      </c>
      <c r="P22" s="17">
        <v>0</v>
      </c>
      <c r="Q22" s="17">
        <v>0</v>
      </c>
      <c r="R22" s="17">
        <v>50</v>
      </c>
      <c r="S22" s="17">
        <v>500</v>
      </c>
      <c r="T22" s="17">
        <v>140</v>
      </c>
      <c r="U22" s="17">
        <v>0</v>
      </c>
      <c r="V22" s="17">
        <v>150</v>
      </c>
      <c r="W22" s="17">
        <v>0</v>
      </c>
      <c r="X22" s="17">
        <v>0</v>
      </c>
      <c r="Y22" s="17">
        <v>0</v>
      </c>
      <c r="Z22" s="17">
        <v>0</v>
      </c>
      <c r="AA22" s="17">
        <v>0</v>
      </c>
      <c r="AB22" s="17">
        <v>0</v>
      </c>
      <c r="AC22" s="17">
        <v>0</v>
      </c>
      <c r="AD22" s="17">
        <v>0</v>
      </c>
      <c r="AE22" s="17">
        <v>0</v>
      </c>
      <c r="AF22" s="17">
        <v>0</v>
      </c>
      <c r="AG22" s="17">
        <v>0</v>
      </c>
      <c r="AH22" s="17">
        <v>0</v>
      </c>
      <c r="AI22" s="17">
        <v>0</v>
      </c>
      <c r="AJ22" s="17">
        <v>0</v>
      </c>
      <c r="AK22" s="19">
        <f>SUM(WeeklyExpenditure[[#This Row],[FOOD, WATER AND DRINKS]:[MISCELLANEOUS (Soap, Washing Powder, Others)]])</f>
        <v>10266</v>
      </c>
    </row>
    <row r="23" spans="1:37" s="15" customFormat="1" hidden="1" x14ac:dyDescent="0.25">
      <c r="A23" s="8">
        <f t="shared" si="0"/>
        <v>44352</v>
      </c>
      <c r="B23" s="17">
        <v>0</v>
      </c>
      <c r="C23" s="17">
        <v>0</v>
      </c>
      <c r="D23" s="17">
        <v>0</v>
      </c>
      <c r="E23" s="17">
        <v>0</v>
      </c>
      <c r="F23" s="17">
        <v>0</v>
      </c>
      <c r="G23" s="17">
        <v>0</v>
      </c>
      <c r="H23" s="18">
        <v>0</v>
      </c>
      <c r="I23" s="18">
        <v>0</v>
      </c>
      <c r="J23" s="17">
        <v>0</v>
      </c>
      <c r="K23" s="17">
        <v>0</v>
      </c>
      <c r="L23" s="17">
        <v>0</v>
      </c>
      <c r="M23" s="17">
        <v>0</v>
      </c>
      <c r="N23" s="17">
        <v>0</v>
      </c>
      <c r="O23" s="17">
        <v>0</v>
      </c>
      <c r="P23" s="17">
        <v>0</v>
      </c>
      <c r="Q23" s="17">
        <v>0</v>
      </c>
      <c r="R23" s="17">
        <v>0</v>
      </c>
      <c r="S23" s="17">
        <v>0</v>
      </c>
      <c r="T23" s="17">
        <v>0</v>
      </c>
      <c r="U23" s="17">
        <v>0</v>
      </c>
      <c r="V23" s="17">
        <v>0</v>
      </c>
      <c r="W23" s="17">
        <v>0</v>
      </c>
      <c r="X23" s="17">
        <v>0</v>
      </c>
      <c r="Y23" s="17">
        <v>0</v>
      </c>
      <c r="Z23" s="17">
        <v>0</v>
      </c>
      <c r="AA23" s="17">
        <v>0</v>
      </c>
      <c r="AB23" s="17">
        <v>0</v>
      </c>
      <c r="AC23" s="17">
        <v>0</v>
      </c>
      <c r="AD23" s="17">
        <v>0</v>
      </c>
      <c r="AE23" s="17">
        <v>0</v>
      </c>
      <c r="AF23" s="17">
        <v>0</v>
      </c>
      <c r="AG23" s="17">
        <v>0</v>
      </c>
      <c r="AH23" s="17">
        <v>0</v>
      </c>
      <c r="AI23" s="17">
        <v>0</v>
      </c>
      <c r="AJ23" s="17">
        <v>0</v>
      </c>
      <c r="AK23" s="19">
        <f>SUM(WeeklyExpenditure[[#This Row],[FOOD, WATER AND DRINKS]:[MISCELLANEOUS (Soap, Washing Powder, Others)]])</f>
        <v>0</v>
      </c>
    </row>
    <row r="24" spans="1:37" s="15" customFormat="1" hidden="1" x14ac:dyDescent="0.25">
      <c r="A24" s="8">
        <f t="shared" si="0"/>
        <v>44359</v>
      </c>
      <c r="B24" s="17">
        <v>200</v>
      </c>
      <c r="C24" s="17">
        <v>0</v>
      </c>
      <c r="D24" s="17">
        <v>0</v>
      </c>
      <c r="E24" s="17">
        <v>70</v>
      </c>
      <c r="F24" s="17">
        <v>150</v>
      </c>
      <c r="G24" s="17">
        <v>320</v>
      </c>
      <c r="H24" s="18">
        <v>0</v>
      </c>
      <c r="I24" s="18">
        <v>0</v>
      </c>
      <c r="J24" s="17">
        <v>0</v>
      </c>
      <c r="K24" s="17">
        <v>0</v>
      </c>
      <c r="L24" s="17">
        <v>400</v>
      </c>
      <c r="M24" s="17">
        <v>0</v>
      </c>
      <c r="N24" s="17">
        <v>0</v>
      </c>
      <c r="O24" s="17">
        <v>0</v>
      </c>
      <c r="P24" s="17">
        <v>0</v>
      </c>
      <c r="Q24" s="17">
        <v>0</v>
      </c>
      <c r="R24" s="17">
        <v>0</v>
      </c>
      <c r="S24" s="17">
        <v>500</v>
      </c>
      <c r="T24" s="17">
        <v>0</v>
      </c>
      <c r="U24" s="17">
        <v>0</v>
      </c>
      <c r="V24" s="17">
        <v>670</v>
      </c>
      <c r="W24" s="17">
        <v>0</v>
      </c>
      <c r="X24" s="17">
        <v>0</v>
      </c>
      <c r="Y24" s="17">
        <v>0</v>
      </c>
      <c r="Z24" s="17">
        <v>0</v>
      </c>
      <c r="AA24" s="17">
        <v>0</v>
      </c>
      <c r="AB24" s="17">
        <v>0</v>
      </c>
      <c r="AC24" s="17">
        <v>0</v>
      </c>
      <c r="AD24" s="17">
        <v>0</v>
      </c>
      <c r="AE24" s="17">
        <v>0</v>
      </c>
      <c r="AF24" s="17">
        <v>0</v>
      </c>
      <c r="AG24" s="17">
        <v>0</v>
      </c>
      <c r="AH24" s="17">
        <v>0</v>
      </c>
      <c r="AI24" s="17">
        <v>0</v>
      </c>
      <c r="AJ24" s="17">
        <v>100</v>
      </c>
      <c r="AK24" s="19">
        <f>SUM(WeeklyExpenditure[[#This Row],[FOOD, WATER AND DRINKS]:[MISCELLANEOUS (Soap, Washing Powder, Others)]])</f>
        <v>2410</v>
      </c>
    </row>
    <row r="25" spans="1:37" s="15" customFormat="1" hidden="1" x14ac:dyDescent="0.25">
      <c r="A25" s="8">
        <f t="shared" si="0"/>
        <v>44366</v>
      </c>
      <c r="B25" s="17">
        <v>0</v>
      </c>
      <c r="C25" s="17">
        <v>0</v>
      </c>
      <c r="D25" s="17">
        <v>0</v>
      </c>
      <c r="E25" s="17">
        <v>0</v>
      </c>
      <c r="F25" s="17">
        <v>0</v>
      </c>
      <c r="G25" s="17">
        <v>0</v>
      </c>
      <c r="H25" s="18">
        <v>0</v>
      </c>
      <c r="I25" s="18">
        <v>0</v>
      </c>
      <c r="J25" s="17">
        <v>0</v>
      </c>
      <c r="K25" s="17">
        <v>0</v>
      </c>
      <c r="L25" s="17">
        <v>300</v>
      </c>
      <c r="M25" s="17">
        <v>0</v>
      </c>
      <c r="N25" s="17">
        <v>0</v>
      </c>
      <c r="O25" s="17">
        <v>0</v>
      </c>
      <c r="P25" s="17">
        <v>0</v>
      </c>
      <c r="Q25" s="17">
        <v>0</v>
      </c>
      <c r="R25" s="17">
        <v>0</v>
      </c>
      <c r="S25" s="17">
        <v>0</v>
      </c>
      <c r="T25" s="17">
        <v>0</v>
      </c>
      <c r="U25" s="17">
        <v>0</v>
      </c>
      <c r="V25" s="17">
        <v>0</v>
      </c>
      <c r="W25" s="17">
        <v>0</v>
      </c>
      <c r="X25" s="17">
        <v>0</v>
      </c>
      <c r="Y25" s="17">
        <v>0</v>
      </c>
      <c r="Z25" s="17">
        <v>0</v>
      </c>
      <c r="AA25" s="17">
        <v>0</v>
      </c>
      <c r="AB25" s="17">
        <v>0</v>
      </c>
      <c r="AC25" s="17">
        <v>0</v>
      </c>
      <c r="AD25" s="17">
        <v>0</v>
      </c>
      <c r="AE25" s="17">
        <v>0</v>
      </c>
      <c r="AF25" s="17">
        <v>0</v>
      </c>
      <c r="AG25" s="17">
        <v>0</v>
      </c>
      <c r="AH25" s="17">
        <v>0</v>
      </c>
      <c r="AI25" s="17">
        <v>0</v>
      </c>
      <c r="AJ25" s="17">
        <v>0</v>
      </c>
      <c r="AK25" s="19">
        <f>SUM(WeeklyExpenditure[[#This Row],[FOOD, WATER AND DRINKS]:[MISCELLANEOUS (Soap, Washing Powder, Others)]])</f>
        <v>300</v>
      </c>
    </row>
    <row r="26" spans="1:37" s="15" customFormat="1" hidden="1" x14ac:dyDescent="0.25">
      <c r="A26" s="8">
        <f t="shared" si="0"/>
        <v>44373</v>
      </c>
      <c r="B26" s="17">
        <v>0</v>
      </c>
      <c r="C26" s="17">
        <v>0</v>
      </c>
      <c r="D26" s="17">
        <v>0</v>
      </c>
      <c r="E26" s="17">
        <v>0</v>
      </c>
      <c r="F26" s="17">
        <v>30</v>
      </c>
      <c r="G26" s="17">
        <v>0</v>
      </c>
      <c r="H26" s="18">
        <v>1144</v>
      </c>
      <c r="I26" s="18">
        <v>1900</v>
      </c>
      <c r="J26" s="17">
        <v>0</v>
      </c>
      <c r="K26" s="17">
        <v>0</v>
      </c>
      <c r="L26" s="17">
        <v>0</v>
      </c>
      <c r="M26" s="17">
        <v>0</v>
      </c>
      <c r="N26" s="17">
        <v>30</v>
      </c>
      <c r="O26" s="17">
        <v>100</v>
      </c>
      <c r="P26" s="17">
        <v>250</v>
      </c>
      <c r="Q26" s="17">
        <v>0</v>
      </c>
      <c r="R26" s="17">
        <v>50</v>
      </c>
      <c r="S26" s="17">
        <v>100</v>
      </c>
      <c r="T26" s="17">
        <v>0</v>
      </c>
      <c r="U26" s="17">
        <v>0</v>
      </c>
      <c r="V26" s="17">
        <v>0</v>
      </c>
      <c r="W26" s="17">
        <v>0</v>
      </c>
      <c r="X26" s="17">
        <v>0</v>
      </c>
      <c r="Y26" s="17">
        <v>0</v>
      </c>
      <c r="Z26" s="17">
        <v>100</v>
      </c>
      <c r="AA26" s="17">
        <v>0</v>
      </c>
      <c r="AB26" s="17">
        <v>0</v>
      </c>
      <c r="AC26" s="17">
        <v>0</v>
      </c>
      <c r="AD26" s="17">
        <v>0</v>
      </c>
      <c r="AE26" s="17">
        <v>0</v>
      </c>
      <c r="AF26" s="17">
        <v>0</v>
      </c>
      <c r="AG26" s="17">
        <v>0</v>
      </c>
      <c r="AH26" s="17">
        <v>0</v>
      </c>
      <c r="AI26" s="17">
        <v>0</v>
      </c>
      <c r="AJ26" s="17">
        <v>0</v>
      </c>
      <c r="AK26" s="19">
        <f>SUM(WeeklyExpenditure[[#This Row],[FOOD, WATER AND DRINKS]:[MISCELLANEOUS (Soap, Washing Powder, Others)]])</f>
        <v>3704</v>
      </c>
    </row>
    <row r="27" spans="1:37" s="15" customFormat="1" hidden="1" x14ac:dyDescent="0.25">
      <c r="A27" s="8">
        <f t="shared" si="0"/>
        <v>44380</v>
      </c>
      <c r="B27" s="17">
        <v>0</v>
      </c>
      <c r="C27" s="17">
        <v>0</v>
      </c>
      <c r="D27" s="17">
        <v>0</v>
      </c>
      <c r="E27" s="17">
        <v>50</v>
      </c>
      <c r="F27" s="17">
        <v>0</v>
      </c>
      <c r="G27" s="17">
        <v>0</v>
      </c>
      <c r="H27" s="18">
        <v>130</v>
      </c>
      <c r="I27" s="18">
        <v>0</v>
      </c>
      <c r="J27" s="17">
        <v>0</v>
      </c>
      <c r="K27" s="17">
        <v>0</v>
      </c>
      <c r="L27" s="17">
        <v>400</v>
      </c>
      <c r="M27" s="17">
        <v>0</v>
      </c>
      <c r="N27" s="17">
        <v>0</v>
      </c>
      <c r="O27" s="17">
        <v>0</v>
      </c>
      <c r="P27" s="17">
        <v>0</v>
      </c>
      <c r="Q27" s="17">
        <v>0</v>
      </c>
      <c r="R27" s="17">
        <v>0</v>
      </c>
      <c r="S27" s="17">
        <v>0</v>
      </c>
      <c r="T27" s="17">
        <v>0</v>
      </c>
      <c r="U27" s="17">
        <v>0</v>
      </c>
      <c r="V27" s="17">
        <v>0</v>
      </c>
      <c r="W27" s="17">
        <v>0</v>
      </c>
      <c r="X27" s="17">
        <v>0</v>
      </c>
      <c r="Y27" s="17">
        <v>0</v>
      </c>
      <c r="Z27" s="17">
        <v>0</v>
      </c>
      <c r="AA27" s="17">
        <v>0</v>
      </c>
      <c r="AB27" s="17">
        <v>0</v>
      </c>
      <c r="AC27" s="17">
        <v>0</v>
      </c>
      <c r="AD27" s="17">
        <v>0</v>
      </c>
      <c r="AE27" s="17">
        <v>0</v>
      </c>
      <c r="AF27" s="17">
        <v>0</v>
      </c>
      <c r="AG27" s="17">
        <v>0</v>
      </c>
      <c r="AH27" s="17">
        <v>0</v>
      </c>
      <c r="AI27" s="17">
        <v>0</v>
      </c>
      <c r="AJ27" s="17">
        <v>100</v>
      </c>
      <c r="AK27" s="19">
        <f>SUM(WeeklyExpenditure[[#This Row],[FOOD, WATER AND DRINKS]:[MISCELLANEOUS (Soap, Washing Powder, Others)]])</f>
        <v>680</v>
      </c>
    </row>
    <row r="28" spans="1:37" s="15" customFormat="1" hidden="1" x14ac:dyDescent="0.25">
      <c r="A28" s="8">
        <f t="shared" si="0"/>
        <v>44387</v>
      </c>
      <c r="B28" s="17">
        <v>0</v>
      </c>
      <c r="C28" s="17">
        <v>0</v>
      </c>
      <c r="D28" s="17">
        <v>0</v>
      </c>
      <c r="E28" s="17">
        <v>0</v>
      </c>
      <c r="F28" s="17">
        <v>0</v>
      </c>
      <c r="G28" s="17">
        <v>0</v>
      </c>
      <c r="H28" s="18">
        <v>0</v>
      </c>
      <c r="I28" s="18">
        <v>0</v>
      </c>
      <c r="J28" s="17">
        <v>0</v>
      </c>
      <c r="K28" s="17">
        <v>0</v>
      </c>
      <c r="L28" s="17">
        <v>0</v>
      </c>
      <c r="M28" s="17">
        <v>0</v>
      </c>
      <c r="N28" s="17">
        <v>0</v>
      </c>
      <c r="O28" s="17">
        <v>0</v>
      </c>
      <c r="P28" s="17">
        <v>0</v>
      </c>
      <c r="Q28" s="17">
        <v>0</v>
      </c>
      <c r="R28" s="17">
        <v>0</v>
      </c>
      <c r="S28" s="17">
        <v>0</v>
      </c>
      <c r="T28" s="17">
        <v>0</v>
      </c>
      <c r="U28" s="17">
        <v>0</v>
      </c>
      <c r="V28" s="17">
        <v>0</v>
      </c>
      <c r="W28" s="17">
        <v>0</v>
      </c>
      <c r="X28" s="17">
        <v>0</v>
      </c>
      <c r="Y28" s="17">
        <v>0</v>
      </c>
      <c r="Z28" s="17">
        <v>0</v>
      </c>
      <c r="AA28" s="17">
        <v>0</v>
      </c>
      <c r="AB28" s="17">
        <v>0</v>
      </c>
      <c r="AC28" s="17">
        <v>0</v>
      </c>
      <c r="AD28" s="17">
        <v>0</v>
      </c>
      <c r="AE28" s="17">
        <v>0</v>
      </c>
      <c r="AF28" s="17">
        <v>0</v>
      </c>
      <c r="AG28" s="17">
        <v>0</v>
      </c>
      <c r="AH28" s="17">
        <v>0</v>
      </c>
      <c r="AI28" s="17">
        <v>0</v>
      </c>
      <c r="AJ28" s="17">
        <v>0</v>
      </c>
      <c r="AK28" s="19">
        <f>SUM(WeeklyExpenditure[[#This Row],[FOOD, WATER AND DRINKS]:[MISCELLANEOUS (Soap, Washing Powder, Others)]])</f>
        <v>0</v>
      </c>
    </row>
    <row r="29" spans="1:37" s="15" customFormat="1" hidden="1" x14ac:dyDescent="0.25">
      <c r="A29" s="8">
        <f t="shared" si="0"/>
        <v>44394</v>
      </c>
      <c r="B29" s="17">
        <v>0</v>
      </c>
      <c r="C29" s="17">
        <v>0</v>
      </c>
      <c r="D29" s="17">
        <v>0</v>
      </c>
      <c r="E29" s="17">
        <v>150</v>
      </c>
      <c r="F29" s="17">
        <v>100</v>
      </c>
      <c r="G29" s="17">
        <v>600</v>
      </c>
      <c r="H29" s="18">
        <v>0</v>
      </c>
      <c r="I29" s="18">
        <v>0</v>
      </c>
      <c r="J29" s="17">
        <v>0</v>
      </c>
      <c r="K29" s="17">
        <v>0</v>
      </c>
      <c r="L29" s="17">
        <v>0</v>
      </c>
      <c r="M29" s="17">
        <v>0</v>
      </c>
      <c r="N29" s="17">
        <v>0</v>
      </c>
      <c r="O29" s="17">
        <v>0</v>
      </c>
      <c r="P29" s="17">
        <v>0</v>
      </c>
      <c r="Q29" s="17">
        <v>0</v>
      </c>
      <c r="R29" s="17">
        <v>0</v>
      </c>
      <c r="S29" s="17">
        <v>1285</v>
      </c>
      <c r="T29" s="17">
        <v>0</v>
      </c>
      <c r="U29" s="17">
        <v>0</v>
      </c>
      <c r="V29" s="17">
        <v>200</v>
      </c>
      <c r="W29" s="17">
        <v>0</v>
      </c>
      <c r="X29" s="17">
        <v>0</v>
      </c>
      <c r="Y29" s="17">
        <v>0</v>
      </c>
      <c r="Z29" s="17">
        <v>175</v>
      </c>
      <c r="AA29" s="17">
        <v>0</v>
      </c>
      <c r="AB29" s="17">
        <v>0</v>
      </c>
      <c r="AC29" s="17">
        <v>0</v>
      </c>
      <c r="AD29" s="17">
        <v>0</v>
      </c>
      <c r="AE29" s="17">
        <v>0</v>
      </c>
      <c r="AF29" s="17">
        <v>0</v>
      </c>
      <c r="AG29" s="17">
        <v>0</v>
      </c>
      <c r="AH29" s="17">
        <v>0</v>
      </c>
      <c r="AI29" s="17">
        <v>0</v>
      </c>
      <c r="AJ29" s="17">
        <v>50</v>
      </c>
      <c r="AK29" s="19">
        <f>SUM(WeeklyExpenditure[[#This Row],[FOOD, WATER AND DRINKS]:[MISCELLANEOUS (Soap, Washing Powder, Others)]])</f>
        <v>2560</v>
      </c>
    </row>
    <row r="30" spans="1:37" s="15" customFormat="1" hidden="1" x14ac:dyDescent="0.25">
      <c r="A30" s="8">
        <f t="shared" si="0"/>
        <v>44401</v>
      </c>
      <c r="B30" s="17">
        <v>0</v>
      </c>
      <c r="C30" s="17">
        <v>0</v>
      </c>
      <c r="D30" s="17">
        <v>0</v>
      </c>
      <c r="E30" s="17">
        <v>0</v>
      </c>
      <c r="F30" s="17">
        <v>0</v>
      </c>
      <c r="G30" s="17">
        <v>0</v>
      </c>
      <c r="H30" s="18">
        <v>0</v>
      </c>
      <c r="I30" s="18">
        <v>0</v>
      </c>
      <c r="J30" s="17">
        <v>0</v>
      </c>
      <c r="K30" s="17">
        <v>0</v>
      </c>
      <c r="L30" s="17">
        <v>0</v>
      </c>
      <c r="M30" s="17">
        <v>0</v>
      </c>
      <c r="N30" s="17">
        <v>0</v>
      </c>
      <c r="O30" s="17">
        <v>0</v>
      </c>
      <c r="P30" s="17">
        <v>0</v>
      </c>
      <c r="Q30" s="17">
        <v>0</v>
      </c>
      <c r="R30" s="17">
        <v>0</v>
      </c>
      <c r="S30" s="17">
        <v>0</v>
      </c>
      <c r="T30" s="17">
        <v>0</v>
      </c>
      <c r="U30" s="17">
        <v>0</v>
      </c>
      <c r="V30" s="17">
        <v>0</v>
      </c>
      <c r="W30" s="17">
        <v>0</v>
      </c>
      <c r="X30" s="17">
        <v>0</v>
      </c>
      <c r="Y30" s="17">
        <v>0</v>
      </c>
      <c r="Z30" s="17">
        <v>0</v>
      </c>
      <c r="AA30" s="17">
        <v>0</v>
      </c>
      <c r="AB30" s="17">
        <v>0</v>
      </c>
      <c r="AC30" s="17">
        <v>0</v>
      </c>
      <c r="AD30" s="17">
        <v>0</v>
      </c>
      <c r="AE30" s="17">
        <v>0</v>
      </c>
      <c r="AF30" s="17">
        <v>0</v>
      </c>
      <c r="AG30" s="17">
        <v>0</v>
      </c>
      <c r="AH30" s="17">
        <v>0</v>
      </c>
      <c r="AI30" s="17">
        <v>0</v>
      </c>
      <c r="AJ30" s="17">
        <v>0</v>
      </c>
      <c r="AK30" s="19">
        <f>SUM(WeeklyExpenditure[[#This Row],[FOOD, WATER AND DRINKS]:[MISCELLANEOUS (Soap, Washing Powder, Others)]])</f>
        <v>0</v>
      </c>
    </row>
    <row r="31" spans="1:37" s="15" customFormat="1" hidden="1" x14ac:dyDescent="0.25">
      <c r="A31" s="8">
        <f t="shared" si="0"/>
        <v>44408</v>
      </c>
      <c r="B31" s="17">
        <v>0</v>
      </c>
      <c r="C31" s="17">
        <v>0</v>
      </c>
      <c r="D31" s="17">
        <v>0</v>
      </c>
      <c r="E31" s="17">
        <v>0</v>
      </c>
      <c r="F31" s="17">
        <v>0</v>
      </c>
      <c r="G31" s="17">
        <v>0</v>
      </c>
      <c r="H31" s="18">
        <v>0</v>
      </c>
      <c r="I31" s="18">
        <v>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0</v>
      </c>
      <c r="AB31" s="17">
        <v>0</v>
      </c>
      <c r="AC31" s="17">
        <v>0</v>
      </c>
      <c r="AD31" s="17">
        <v>0</v>
      </c>
      <c r="AE31" s="17">
        <v>0</v>
      </c>
      <c r="AF31" s="17">
        <v>0</v>
      </c>
      <c r="AG31" s="17">
        <v>0</v>
      </c>
      <c r="AH31" s="17">
        <v>0</v>
      </c>
      <c r="AI31" s="17">
        <v>0</v>
      </c>
      <c r="AJ31" s="17">
        <v>0</v>
      </c>
      <c r="AK31" s="19">
        <f>SUM(WeeklyExpenditure[[#This Row],[FOOD, WATER AND DRINKS]:[MISCELLANEOUS (Soap, Washing Powder, Others)]])</f>
        <v>0</v>
      </c>
    </row>
    <row r="32" spans="1:37" s="15" customFormat="1" hidden="1" x14ac:dyDescent="0.25">
      <c r="A32" s="8">
        <f t="shared" si="0"/>
        <v>44415</v>
      </c>
      <c r="B32" s="17">
        <v>260</v>
      </c>
      <c r="C32" s="17">
        <v>0</v>
      </c>
      <c r="D32" s="17">
        <v>0</v>
      </c>
      <c r="E32" s="17">
        <v>77</v>
      </c>
      <c r="F32" s="17">
        <v>150</v>
      </c>
      <c r="G32" s="17">
        <v>0</v>
      </c>
      <c r="H32" s="18">
        <v>0</v>
      </c>
      <c r="I32" s="18">
        <v>0</v>
      </c>
      <c r="J32" s="17">
        <v>0</v>
      </c>
      <c r="K32" s="17">
        <v>0</v>
      </c>
      <c r="L32" s="17">
        <v>440</v>
      </c>
      <c r="M32" s="17">
        <v>0</v>
      </c>
      <c r="N32" s="17">
        <v>0</v>
      </c>
      <c r="O32" s="17">
        <v>200</v>
      </c>
      <c r="P32" s="17">
        <v>0</v>
      </c>
      <c r="Q32" s="17">
        <v>0</v>
      </c>
      <c r="R32" s="17">
        <v>0</v>
      </c>
      <c r="S32" s="17">
        <v>400</v>
      </c>
      <c r="T32" s="17">
        <v>40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9">
        <f>SUM(WeeklyExpenditure[[#This Row],[FOOD, WATER AND DRINKS]:[MISCELLANEOUS (Soap, Washing Powder, Others)]])</f>
        <v>1567</v>
      </c>
    </row>
    <row r="33" spans="1:37" s="15" customFormat="1" hidden="1" x14ac:dyDescent="0.25">
      <c r="A33" s="8">
        <f t="shared" si="0"/>
        <v>44422</v>
      </c>
      <c r="B33" s="17">
        <v>0</v>
      </c>
      <c r="C33" s="17">
        <v>0</v>
      </c>
      <c r="D33" s="17">
        <v>0</v>
      </c>
      <c r="E33" s="17">
        <v>0</v>
      </c>
      <c r="F33" s="17">
        <v>0</v>
      </c>
      <c r="G33" s="17">
        <v>0</v>
      </c>
      <c r="H33" s="18">
        <v>0</v>
      </c>
      <c r="I33" s="18">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9">
        <f>SUM(WeeklyExpenditure[[#This Row],[FOOD, WATER AND DRINKS]:[MISCELLANEOUS (Soap, Washing Powder, Others)]])</f>
        <v>0</v>
      </c>
    </row>
    <row r="34" spans="1:37" s="15" customFormat="1" hidden="1" x14ac:dyDescent="0.25">
      <c r="A34" s="8">
        <f t="shared" si="0"/>
        <v>44429</v>
      </c>
      <c r="B34" s="17">
        <v>0</v>
      </c>
      <c r="C34" s="17">
        <v>0</v>
      </c>
      <c r="D34" s="17">
        <v>0</v>
      </c>
      <c r="E34" s="17">
        <v>0</v>
      </c>
      <c r="F34" s="17">
        <v>0</v>
      </c>
      <c r="G34" s="17">
        <v>0</v>
      </c>
      <c r="H34" s="18">
        <v>0</v>
      </c>
      <c r="I34" s="18">
        <v>0</v>
      </c>
      <c r="J34" s="17">
        <v>0</v>
      </c>
      <c r="K34" s="17">
        <v>0</v>
      </c>
      <c r="L34" s="17">
        <v>0</v>
      </c>
      <c r="M34" s="17">
        <v>0</v>
      </c>
      <c r="N34" s="17">
        <v>0</v>
      </c>
      <c r="O34" s="17">
        <v>0</v>
      </c>
      <c r="P34" s="17">
        <v>0</v>
      </c>
      <c r="Q34" s="17">
        <v>0</v>
      </c>
      <c r="R34" s="17">
        <v>0</v>
      </c>
      <c r="S34" s="17">
        <v>0</v>
      </c>
      <c r="T34" s="17">
        <v>0</v>
      </c>
      <c r="U34" s="17">
        <v>0</v>
      </c>
      <c r="V34" s="17">
        <v>0</v>
      </c>
      <c r="W34" s="17">
        <v>0</v>
      </c>
      <c r="X34" s="17">
        <v>0</v>
      </c>
      <c r="Y34" s="17">
        <v>0</v>
      </c>
      <c r="Z34" s="17">
        <v>0</v>
      </c>
      <c r="AA34" s="17">
        <v>0</v>
      </c>
      <c r="AB34" s="17">
        <v>0</v>
      </c>
      <c r="AC34" s="17">
        <v>0</v>
      </c>
      <c r="AD34" s="17">
        <v>0</v>
      </c>
      <c r="AE34" s="17">
        <v>0</v>
      </c>
      <c r="AF34" s="17">
        <v>0</v>
      </c>
      <c r="AG34" s="17">
        <v>0</v>
      </c>
      <c r="AH34" s="17">
        <v>0</v>
      </c>
      <c r="AI34" s="17">
        <v>0</v>
      </c>
      <c r="AJ34" s="17">
        <v>0</v>
      </c>
      <c r="AK34" s="19">
        <f>SUM(WeeklyExpenditure[[#This Row],[FOOD, WATER AND DRINKS]:[MISCELLANEOUS (Soap, Washing Powder, Others)]])</f>
        <v>0</v>
      </c>
    </row>
    <row r="35" spans="1:37" s="15" customFormat="1" hidden="1" x14ac:dyDescent="0.25">
      <c r="A35" s="8">
        <f t="shared" si="0"/>
        <v>44436</v>
      </c>
      <c r="B35" s="17">
        <v>0</v>
      </c>
      <c r="C35" s="17">
        <v>0</v>
      </c>
      <c r="D35" s="17">
        <v>0</v>
      </c>
      <c r="E35" s="17">
        <v>0</v>
      </c>
      <c r="F35" s="17">
        <v>0</v>
      </c>
      <c r="G35" s="17">
        <v>0</v>
      </c>
      <c r="H35" s="18">
        <v>0</v>
      </c>
      <c r="I35" s="18">
        <v>0</v>
      </c>
      <c r="J35" s="17">
        <v>0</v>
      </c>
      <c r="K35" s="17">
        <v>0</v>
      </c>
      <c r="L35" s="17">
        <v>0</v>
      </c>
      <c r="M35" s="17">
        <v>0</v>
      </c>
      <c r="N35" s="17">
        <v>0</v>
      </c>
      <c r="O35" s="17">
        <v>0</v>
      </c>
      <c r="P35" s="17">
        <v>0</v>
      </c>
      <c r="Q35" s="17">
        <v>0</v>
      </c>
      <c r="R35" s="17">
        <v>0</v>
      </c>
      <c r="S35" s="17">
        <v>0</v>
      </c>
      <c r="T35" s="17">
        <v>0</v>
      </c>
      <c r="U35" s="17">
        <v>0</v>
      </c>
      <c r="V35" s="17">
        <v>0</v>
      </c>
      <c r="W35" s="17">
        <v>0</v>
      </c>
      <c r="X35" s="17">
        <v>0</v>
      </c>
      <c r="Y35" s="17">
        <v>0</v>
      </c>
      <c r="Z35" s="17">
        <v>0</v>
      </c>
      <c r="AA35" s="17">
        <v>0</v>
      </c>
      <c r="AB35" s="17">
        <v>0</v>
      </c>
      <c r="AC35" s="17">
        <v>0</v>
      </c>
      <c r="AD35" s="17">
        <v>0</v>
      </c>
      <c r="AE35" s="17">
        <v>0</v>
      </c>
      <c r="AF35" s="17">
        <v>0</v>
      </c>
      <c r="AG35" s="17">
        <v>0</v>
      </c>
      <c r="AH35" s="17">
        <v>0</v>
      </c>
      <c r="AI35" s="17">
        <v>0</v>
      </c>
      <c r="AJ35" s="17">
        <v>0</v>
      </c>
      <c r="AK35" s="19">
        <f>SUM(WeeklyExpenditure[[#This Row],[FOOD, WATER AND DRINKS]:[MISCELLANEOUS (Soap, Washing Powder, Others)]])</f>
        <v>0</v>
      </c>
    </row>
    <row r="36" spans="1:37" s="15" customFormat="1" hidden="1" x14ac:dyDescent="0.25">
      <c r="A36" s="8">
        <f t="shared" si="0"/>
        <v>44443</v>
      </c>
      <c r="B36" s="17">
        <v>0</v>
      </c>
      <c r="C36" s="17">
        <v>0</v>
      </c>
      <c r="D36" s="17">
        <v>0</v>
      </c>
      <c r="E36" s="17">
        <v>0</v>
      </c>
      <c r="F36" s="17">
        <v>0</v>
      </c>
      <c r="G36" s="17">
        <v>0</v>
      </c>
      <c r="H36" s="18">
        <v>2170</v>
      </c>
      <c r="I36" s="18">
        <v>0</v>
      </c>
      <c r="J36" s="17">
        <v>0</v>
      </c>
      <c r="K36" s="17">
        <v>0</v>
      </c>
      <c r="L36" s="17">
        <v>0</v>
      </c>
      <c r="M36" s="17">
        <v>0</v>
      </c>
      <c r="N36" s="17">
        <v>0</v>
      </c>
      <c r="O36" s="17">
        <v>0</v>
      </c>
      <c r="P36" s="17">
        <v>0</v>
      </c>
      <c r="Q36" s="17">
        <v>0</v>
      </c>
      <c r="R36" s="17">
        <v>0</v>
      </c>
      <c r="S36" s="17">
        <v>0</v>
      </c>
      <c r="T36" s="17">
        <v>0</v>
      </c>
      <c r="U36" s="17">
        <v>0</v>
      </c>
      <c r="V36" s="17">
        <v>0</v>
      </c>
      <c r="W36" s="17">
        <v>0</v>
      </c>
      <c r="X36" s="17">
        <v>0</v>
      </c>
      <c r="Y36" s="17">
        <v>0</v>
      </c>
      <c r="Z36" s="17">
        <v>0</v>
      </c>
      <c r="AA36" s="17">
        <v>0</v>
      </c>
      <c r="AB36" s="17">
        <v>0</v>
      </c>
      <c r="AC36" s="17">
        <v>0</v>
      </c>
      <c r="AD36" s="17">
        <v>0</v>
      </c>
      <c r="AE36" s="17">
        <v>0</v>
      </c>
      <c r="AF36" s="17">
        <v>0</v>
      </c>
      <c r="AG36" s="17">
        <v>0</v>
      </c>
      <c r="AH36" s="17">
        <v>0</v>
      </c>
      <c r="AI36" s="17">
        <v>0</v>
      </c>
      <c r="AJ36" s="17">
        <v>0</v>
      </c>
      <c r="AK36" s="19">
        <f>SUM(WeeklyExpenditure[[#This Row],[FOOD, WATER AND DRINKS]:[MISCELLANEOUS (Soap, Washing Powder, Others)]])</f>
        <v>2170</v>
      </c>
    </row>
    <row r="37" spans="1:37" s="15" customFormat="1" hidden="1" x14ac:dyDescent="0.25">
      <c r="A37" s="8">
        <f t="shared" si="0"/>
        <v>44450</v>
      </c>
      <c r="B37" s="17">
        <v>0</v>
      </c>
      <c r="C37" s="17">
        <v>0</v>
      </c>
      <c r="D37" s="17">
        <v>0</v>
      </c>
      <c r="E37" s="17">
        <v>0</v>
      </c>
      <c r="F37" s="17">
        <v>0</v>
      </c>
      <c r="G37" s="17">
        <v>0</v>
      </c>
      <c r="H37" s="18">
        <v>0</v>
      </c>
      <c r="I37" s="18">
        <v>0</v>
      </c>
      <c r="J37" s="17">
        <v>0</v>
      </c>
      <c r="K37" s="17">
        <v>0</v>
      </c>
      <c r="L37" s="17">
        <v>0</v>
      </c>
      <c r="M37" s="17">
        <v>0</v>
      </c>
      <c r="N37" s="17">
        <v>0</v>
      </c>
      <c r="O37" s="17">
        <v>0</v>
      </c>
      <c r="P37" s="17">
        <v>0</v>
      </c>
      <c r="Q37" s="17">
        <v>0</v>
      </c>
      <c r="R37" s="17">
        <v>0</v>
      </c>
      <c r="S37" s="17">
        <v>0</v>
      </c>
      <c r="T37" s="17">
        <v>0</v>
      </c>
      <c r="U37" s="17">
        <v>0</v>
      </c>
      <c r="V37" s="17">
        <v>0</v>
      </c>
      <c r="W37" s="17">
        <v>0</v>
      </c>
      <c r="X37" s="17">
        <v>0</v>
      </c>
      <c r="Y37" s="17">
        <v>0</v>
      </c>
      <c r="Z37" s="17">
        <v>0</v>
      </c>
      <c r="AA37" s="17">
        <v>0</v>
      </c>
      <c r="AB37" s="17">
        <v>0</v>
      </c>
      <c r="AC37" s="17">
        <v>0</v>
      </c>
      <c r="AD37" s="17">
        <v>0</v>
      </c>
      <c r="AE37" s="17">
        <v>0</v>
      </c>
      <c r="AF37" s="17">
        <v>0</v>
      </c>
      <c r="AG37" s="17">
        <v>0</v>
      </c>
      <c r="AH37" s="17">
        <v>0</v>
      </c>
      <c r="AI37" s="17">
        <v>0</v>
      </c>
      <c r="AJ37" s="17">
        <v>0</v>
      </c>
      <c r="AK37" s="19">
        <f>SUM(WeeklyExpenditure[[#This Row],[FOOD, WATER AND DRINKS]:[MISCELLANEOUS (Soap, Washing Powder, Others)]])</f>
        <v>0</v>
      </c>
    </row>
    <row r="38" spans="1:37" s="15" customFormat="1" hidden="1" x14ac:dyDescent="0.25">
      <c r="A38" s="8">
        <f t="shared" si="0"/>
        <v>44457</v>
      </c>
      <c r="B38" s="17">
        <v>0</v>
      </c>
      <c r="C38" s="17">
        <v>0</v>
      </c>
      <c r="D38" s="17">
        <v>0</v>
      </c>
      <c r="E38" s="17">
        <v>100</v>
      </c>
      <c r="F38" s="17">
        <v>200</v>
      </c>
      <c r="G38" s="17">
        <v>0</v>
      </c>
      <c r="H38" s="18">
        <v>0</v>
      </c>
      <c r="I38" s="18">
        <v>0</v>
      </c>
      <c r="J38" s="17">
        <v>0</v>
      </c>
      <c r="K38" s="17">
        <v>0</v>
      </c>
      <c r="L38" s="17">
        <v>0</v>
      </c>
      <c r="M38" s="17">
        <v>0</v>
      </c>
      <c r="N38" s="17">
        <v>0</v>
      </c>
      <c r="O38" s="17">
        <v>0</v>
      </c>
      <c r="P38" s="17">
        <v>0</v>
      </c>
      <c r="Q38" s="17">
        <v>0</v>
      </c>
      <c r="R38" s="17">
        <v>0</v>
      </c>
      <c r="S38" s="17">
        <v>1100</v>
      </c>
      <c r="T38" s="17">
        <v>0</v>
      </c>
      <c r="U38" s="17">
        <v>0</v>
      </c>
      <c r="V38" s="17">
        <v>100</v>
      </c>
      <c r="W38" s="17">
        <v>0</v>
      </c>
      <c r="X38" s="17">
        <v>0</v>
      </c>
      <c r="Y38" s="17">
        <v>0</v>
      </c>
      <c r="Z38" s="17">
        <v>0</v>
      </c>
      <c r="AA38" s="17">
        <v>0</v>
      </c>
      <c r="AB38" s="17">
        <v>0</v>
      </c>
      <c r="AC38" s="17">
        <v>0</v>
      </c>
      <c r="AD38" s="17">
        <v>0</v>
      </c>
      <c r="AE38" s="17">
        <v>0</v>
      </c>
      <c r="AF38" s="17">
        <v>0</v>
      </c>
      <c r="AG38" s="17">
        <v>0</v>
      </c>
      <c r="AH38" s="17">
        <v>0</v>
      </c>
      <c r="AI38" s="17">
        <v>0</v>
      </c>
      <c r="AJ38" s="17">
        <v>0</v>
      </c>
      <c r="AK38" s="19">
        <f>SUM(WeeklyExpenditure[[#This Row],[FOOD, WATER AND DRINKS]:[MISCELLANEOUS (Soap, Washing Powder, Others)]])</f>
        <v>1500</v>
      </c>
    </row>
    <row r="39" spans="1:37" s="15" customFormat="1" hidden="1" x14ac:dyDescent="0.25">
      <c r="A39" s="8">
        <f t="shared" si="0"/>
        <v>44464</v>
      </c>
      <c r="B39" s="17">
        <v>20</v>
      </c>
      <c r="C39" s="17">
        <v>0</v>
      </c>
      <c r="D39" s="17">
        <v>0</v>
      </c>
      <c r="E39" s="17">
        <v>15</v>
      </c>
      <c r="F39" s="17">
        <v>150</v>
      </c>
      <c r="G39" s="17">
        <v>0</v>
      </c>
      <c r="H39" s="18">
        <v>0</v>
      </c>
      <c r="I39" s="18">
        <v>0</v>
      </c>
      <c r="J39" s="17">
        <v>0</v>
      </c>
      <c r="K39" s="17">
        <v>0</v>
      </c>
      <c r="L39" s="17">
        <v>0</v>
      </c>
      <c r="M39" s="17">
        <v>0</v>
      </c>
      <c r="N39" s="17">
        <v>30</v>
      </c>
      <c r="O39" s="17">
        <v>0</v>
      </c>
      <c r="P39" s="17">
        <v>0</v>
      </c>
      <c r="Q39" s="17">
        <v>120</v>
      </c>
      <c r="R39" s="17">
        <v>0</v>
      </c>
      <c r="S39" s="17">
        <v>0</v>
      </c>
      <c r="T39" s="17">
        <v>0</v>
      </c>
      <c r="U39" s="17">
        <v>0</v>
      </c>
      <c r="V39" s="17">
        <v>0</v>
      </c>
      <c r="W39" s="17">
        <v>0</v>
      </c>
      <c r="X39" s="17">
        <v>0</v>
      </c>
      <c r="Y39" s="17">
        <v>0</v>
      </c>
      <c r="Z39" s="17">
        <v>25</v>
      </c>
      <c r="AA39" s="17">
        <v>0</v>
      </c>
      <c r="AB39" s="17">
        <v>0</v>
      </c>
      <c r="AC39" s="17">
        <v>0</v>
      </c>
      <c r="AD39" s="17">
        <v>0</v>
      </c>
      <c r="AE39" s="17">
        <v>0</v>
      </c>
      <c r="AF39" s="17">
        <v>0</v>
      </c>
      <c r="AG39" s="17">
        <v>0</v>
      </c>
      <c r="AH39" s="17">
        <v>0</v>
      </c>
      <c r="AI39" s="17">
        <v>0</v>
      </c>
      <c r="AJ39" s="17">
        <v>0</v>
      </c>
      <c r="AK39" s="19">
        <f>SUM(WeeklyExpenditure[[#This Row],[FOOD, WATER AND DRINKS]:[MISCELLANEOUS (Soap, Washing Powder, Others)]])</f>
        <v>360</v>
      </c>
    </row>
    <row r="40" spans="1:37" s="15" customFormat="1" hidden="1" x14ac:dyDescent="0.25">
      <c r="A40" s="8">
        <f t="shared" si="0"/>
        <v>44471</v>
      </c>
      <c r="B40" s="17">
        <v>0</v>
      </c>
      <c r="C40" s="17">
        <v>0</v>
      </c>
      <c r="D40" s="17">
        <v>0</v>
      </c>
      <c r="E40" s="17">
        <v>0</v>
      </c>
      <c r="F40" s="17">
        <v>0</v>
      </c>
      <c r="G40" s="17">
        <v>0</v>
      </c>
      <c r="H40" s="18">
        <v>0</v>
      </c>
      <c r="I40" s="18">
        <v>0</v>
      </c>
      <c r="J40" s="17">
        <v>0</v>
      </c>
      <c r="K40" s="17">
        <v>0</v>
      </c>
      <c r="L40" s="17">
        <v>0</v>
      </c>
      <c r="M40" s="17">
        <v>0</v>
      </c>
      <c r="N40" s="17">
        <v>0</v>
      </c>
      <c r="O40" s="17">
        <v>0</v>
      </c>
      <c r="P40" s="17">
        <v>0</v>
      </c>
      <c r="Q40" s="17">
        <v>0</v>
      </c>
      <c r="R40" s="17">
        <v>0</v>
      </c>
      <c r="S40" s="17">
        <v>1305</v>
      </c>
      <c r="T40" s="17">
        <v>0</v>
      </c>
      <c r="U40" s="17">
        <v>0</v>
      </c>
      <c r="V40" s="17">
        <v>0</v>
      </c>
      <c r="W40" s="17">
        <v>0</v>
      </c>
      <c r="X40" s="17">
        <v>0</v>
      </c>
      <c r="Y40" s="17">
        <v>0</v>
      </c>
      <c r="Z40" s="17">
        <v>0</v>
      </c>
      <c r="AA40" s="17">
        <v>0</v>
      </c>
      <c r="AB40" s="17">
        <v>0</v>
      </c>
      <c r="AC40" s="17">
        <v>0</v>
      </c>
      <c r="AD40" s="17">
        <v>0</v>
      </c>
      <c r="AE40" s="17">
        <v>0</v>
      </c>
      <c r="AF40" s="17">
        <v>0</v>
      </c>
      <c r="AG40" s="17">
        <v>0</v>
      </c>
      <c r="AH40" s="17">
        <v>0</v>
      </c>
      <c r="AI40" s="17">
        <v>0</v>
      </c>
      <c r="AJ40" s="17">
        <v>25</v>
      </c>
      <c r="AK40" s="19">
        <f>SUM(WeeklyExpenditure[[#This Row],[FOOD, WATER AND DRINKS]:[MISCELLANEOUS (Soap, Washing Powder, Others)]])</f>
        <v>1330</v>
      </c>
    </row>
    <row r="41" spans="1:37" s="15" customFormat="1" hidden="1" x14ac:dyDescent="0.25">
      <c r="A41" s="8">
        <f t="shared" si="0"/>
        <v>44478</v>
      </c>
      <c r="B41" s="17">
        <v>0</v>
      </c>
      <c r="C41" s="17">
        <v>0</v>
      </c>
      <c r="D41" s="17">
        <v>0</v>
      </c>
      <c r="E41" s="17">
        <v>60</v>
      </c>
      <c r="F41" s="17">
        <v>0</v>
      </c>
      <c r="G41" s="17">
        <v>0</v>
      </c>
      <c r="H41" s="18">
        <v>0</v>
      </c>
      <c r="I41" s="18">
        <v>0</v>
      </c>
      <c r="J41" s="17">
        <v>0</v>
      </c>
      <c r="K41" s="17">
        <v>0</v>
      </c>
      <c r="L41" s="17">
        <v>0</v>
      </c>
      <c r="M41" s="17">
        <v>0</v>
      </c>
      <c r="N41" s="17">
        <v>120</v>
      </c>
      <c r="O41" s="17">
        <v>0</v>
      </c>
      <c r="P41" s="17">
        <v>0</v>
      </c>
      <c r="Q41" s="17">
        <v>0</v>
      </c>
      <c r="R41" s="17">
        <v>0</v>
      </c>
      <c r="S41" s="17">
        <v>0</v>
      </c>
      <c r="T41" s="17">
        <v>50</v>
      </c>
      <c r="U41" s="17">
        <v>0</v>
      </c>
      <c r="V41" s="17">
        <v>200</v>
      </c>
      <c r="W41" s="17">
        <v>0</v>
      </c>
      <c r="X41" s="17">
        <v>0</v>
      </c>
      <c r="Y41" s="17">
        <v>0</v>
      </c>
      <c r="Z41" s="17">
        <v>0</v>
      </c>
      <c r="AA41" s="17">
        <v>0</v>
      </c>
      <c r="AB41" s="17">
        <v>0</v>
      </c>
      <c r="AC41" s="17">
        <v>0</v>
      </c>
      <c r="AD41" s="17">
        <v>0</v>
      </c>
      <c r="AE41" s="17">
        <v>0</v>
      </c>
      <c r="AF41" s="17">
        <v>0</v>
      </c>
      <c r="AG41" s="17">
        <v>0</v>
      </c>
      <c r="AH41" s="17">
        <v>0</v>
      </c>
      <c r="AI41" s="17">
        <v>0</v>
      </c>
      <c r="AJ41" s="17">
        <v>30</v>
      </c>
      <c r="AK41" s="19">
        <f>SUM(WeeklyExpenditure[[#This Row],[FOOD, WATER AND DRINKS]:[MISCELLANEOUS (Soap, Washing Powder, Others)]])</f>
        <v>460</v>
      </c>
    </row>
    <row r="42" spans="1:37" s="15" customFormat="1" hidden="1" x14ac:dyDescent="0.25">
      <c r="A42" s="8">
        <f t="shared" si="0"/>
        <v>44485</v>
      </c>
      <c r="B42" s="17">
        <v>0</v>
      </c>
      <c r="C42" s="17">
        <v>0</v>
      </c>
      <c r="D42" s="17">
        <v>0</v>
      </c>
      <c r="E42" s="17">
        <v>0</v>
      </c>
      <c r="F42" s="17">
        <v>0</v>
      </c>
      <c r="G42" s="17">
        <v>0</v>
      </c>
      <c r="H42" s="18">
        <v>0</v>
      </c>
      <c r="I42" s="18">
        <v>0</v>
      </c>
      <c r="J42" s="17">
        <v>0</v>
      </c>
      <c r="K42" s="17">
        <v>0</v>
      </c>
      <c r="L42" s="17">
        <v>0</v>
      </c>
      <c r="M42" s="17">
        <v>0</v>
      </c>
      <c r="N42" s="17">
        <v>0</v>
      </c>
      <c r="O42" s="17">
        <v>0</v>
      </c>
      <c r="P42" s="17">
        <v>0</v>
      </c>
      <c r="Q42" s="17">
        <v>0</v>
      </c>
      <c r="R42" s="17">
        <v>0</v>
      </c>
      <c r="S42" s="17">
        <v>0</v>
      </c>
      <c r="T42" s="17">
        <v>0</v>
      </c>
      <c r="U42" s="17">
        <v>0</v>
      </c>
      <c r="V42" s="17">
        <v>0</v>
      </c>
      <c r="W42" s="17">
        <v>0</v>
      </c>
      <c r="X42" s="17">
        <v>0</v>
      </c>
      <c r="Y42" s="17">
        <v>0</v>
      </c>
      <c r="Z42" s="17">
        <v>0</v>
      </c>
      <c r="AA42" s="17">
        <v>0</v>
      </c>
      <c r="AB42" s="17">
        <v>0</v>
      </c>
      <c r="AC42" s="17">
        <v>0</v>
      </c>
      <c r="AD42" s="17">
        <v>0</v>
      </c>
      <c r="AE42" s="17">
        <v>0</v>
      </c>
      <c r="AF42" s="17">
        <v>0</v>
      </c>
      <c r="AG42" s="17">
        <v>0</v>
      </c>
      <c r="AH42" s="17">
        <v>0</v>
      </c>
      <c r="AI42" s="17">
        <v>0</v>
      </c>
      <c r="AJ42" s="17">
        <v>0</v>
      </c>
      <c r="AK42" s="19">
        <f>SUM(WeeklyExpenditure[[#This Row],[FOOD, WATER AND DRINKS]:[MISCELLANEOUS (Soap, Washing Powder, Others)]])</f>
        <v>0</v>
      </c>
    </row>
    <row r="43" spans="1:37" s="15" customFormat="1" hidden="1" x14ac:dyDescent="0.25">
      <c r="A43" s="8">
        <f t="shared" si="0"/>
        <v>44492</v>
      </c>
      <c r="B43" s="17">
        <v>0</v>
      </c>
      <c r="C43" s="17">
        <v>0</v>
      </c>
      <c r="D43" s="17">
        <v>0</v>
      </c>
      <c r="E43" s="17">
        <v>0</v>
      </c>
      <c r="F43" s="17">
        <v>0</v>
      </c>
      <c r="G43" s="17">
        <v>0</v>
      </c>
      <c r="H43" s="18">
        <v>0</v>
      </c>
      <c r="I43" s="18">
        <v>0</v>
      </c>
      <c r="J43" s="17">
        <v>0</v>
      </c>
      <c r="K43" s="17">
        <v>0</v>
      </c>
      <c r="L43" s="17">
        <v>0</v>
      </c>
      <c r="M43" s="17">
        <v>0</v>
      </c>
      <c r="N43" s="17">
        <v>0</v>
      </c>
      <c r="O43" s="17">
        <v>0</v>
      </c>
      <c r="P43" s="17">
        <v>0</v>
      </c>
      <c r="Q43" s="17">
        <v>0</v>
      </c>
      <c r="R43" s="17">
        <v>0</v>
      </c>
      <c r="S43" s="17">
        <v>0</v>
      </c>
      <c r="T43" s="17">
        <v>0</v>
      </c>
      <c r="U43" s="17">
        <v>0</v>
      </c>
      <c r="V43" s="17">
        <v>0</v>
      </c>
      <c r="W43" s="17">
        <v>0</v>
      </c>
      <c r="X43" s="17">
        <v>0</v>
      </c>
      <c r="Y43" s="17">
        <v>0</v>
      </c>
      <c r="Z43" s="17">
        <v>0</v>
      </c>
      <c r="AA43" s="17">
        <v>0</v>
      </c>
      <c r="AB43" s="17">
        <v>0</v>
      </c>
      <c r="AC43" s="17">
        <v>0</v>
      </c>
      <c r="AD43" s="17">
        <v>0</v>
      </c>
      <c r="AE43" s="17">
        <v>0</v>
      </c>
      <c r="AF43" s="17">
        <v>0</v>
      </c>
      <c r="AG43" s="17">
        <v>0</v>
      </c>
      <c r="AH43" s="17">
        <v>0</v>
      </c>
      <c r="AI43" s="17">
        <v>0</v>
      </c>
      <c r="AJ43" s="17">
        <v>0</v>
      </c>
      <c r="AK43" s="19">
        <f>SUM(WeeklyExpenditure[[#This Row],[FOOD, WATER AND DRINKS]:[MISCELLANEOUS (Soap, Washing Powder, Others)]])</f>
        <v>0</v>
      </c>
    </row>
    <row r="44" spans="1:37" s="15" customFormat="1" hidden="1" x14ac:dyDescent="0.25">
      <c r="A44" s="8">
        <f t="shared" si="0"/>
        <v>44499</v>
      </c>
      <c r="B44" s="17">
        <v>25</v>
      </c>
      <c r="C44" s="17">
        <v>0</v>
      </c>
      <c r="D44" s="17">
        <v>0</v>
      </c>
      <c r="E44" s="17">
        <v>150</v>
      </c>
      <c r="F44" s="17">
        <v>470</v>
      </c>
      <c r="G44" s="17">
        <v>0</v>
      </c>
      <c r="H44" s="18">
        <v>0</v>
      </c>
      <c r="I44" s="18">
        <v>0</v>
      </c>
      <c r="J44" s="17">
        <v>0</v>
      </c>
      <c r="K44" s="17">
        <v>0</v>
      </c>
      <c r="L44" s="17">
        <v>0</v>
      </c>
      <c r="M44" s="17">
        <v>0</v>
      </c>
      <c r="N44" s="17">
        <v>0</v>
      </c>
      <c r="O44" s="17">
        <v>0</v>
      </c>
      <c r="P44" s="17">
        <v>0</v>
      </c>
      <c r="Q44" s="17">
        <v>0</v>
      </c>
      <c r="R44" s="17">
        <v>0</v>
      </c>
      <c r="S44" s="17">
        <v>100</v>
      </c>
      <c r="T44" s="17">
        <v>1160</v>
      </c>
      <c r="U44" s="17">
        <v>0</v>
      </c>
      <c r="V44" s="17">
        <v>0</v>
      </c>
      <c r="W44" s="17">
        <v>0</v>
      </c>
      <c r="X44" s="17">
        <v>0</v>
      </c>
      <c r="Y44" s="17">
        <v>0</v>
      </c>
      <c r="Z44" s="17">
        <v>0</v>
      </c>
      <c r="AA44" s="17">
        <v>0</v>
      </c>
      <c r="AB44" s="17">
        <v>0</v>
      </c>
      <c r="AC44" s="17">
        <v>0</v>
      </c>
      <c r="AD44" s="17">
        <v>0</v>
      </c>
      <c r="AE44" s="17">
        <v>0</v>
      </c>
      <c r="AF44" s="17">
        <v>0</v>
      </c>
      <c r="AG44" s="17">
        <v>0</v>
      </c>
      <c r="AH44" s="17">
        <v>0</v>
      </c>
      <c r="AI44" s="17">
        <v>0</v>
      </c>
      <c r="AJ44" s="17">
        <v>0</v>
      </c>
      <c r="AK44" s="19">
        <f>SUM(WeeklyExpenditure[[#This Row],[FOOD, WATER AND DRINKS]:[MISCELLANEOUS (Soap, Washing Powder, Others)]])</f>
        <v>1905</v>
      </c>
    </row>
    <row r="45" spans="1:37" s="15" customFormat="1" hidden="1" x14ac:dyDescent="0.25">
      <c r="A45" s="8">
        <f t="shared" si="0"/>
        <v>44506</v>
      </c>
      <c r="B45" s="17">
        <v>25</v>
      </c>
      <c r="C45" s="17">
        <v>0</v>
      </c>
      <c r="D45" s="17">
        <v>0</v>
      </c>
      <c r="E45" s="17">
        <v>0</v>
      </c>
      <c r="F45" s="17">
        <v>100</v>
      </c>
      <c r="G45" s="17">
        <v>30</v>
      </c>
      <c r="H45" s="18">
        <v>0</v>
      </c>
      <c r="I45" s="18">
        <v>0</v>
      </c>
      <c r="J45" s="17">
        <v>0</v>
      </c>
      <c r="K45" s="17">
        <v>0</v>
      </c>
      <c r="L45" s="17">
        <v>0</v>
      </c>
      <c r="M45" s="17">
        <v>0</v>
      </c>
      <c r="N45" s="17">
        <v>0</v>
      </c>
      <c r="O45" s="17">
        <v>20</v>
      </c>
      <c r="P45" s="17">
        <v>0</v>
      </c>
      <c r="Q45" s="17">
        <v>0</v>
      </c>
      <c r="R45" s="17">
        <v>0</v>
      </c>
      <c r="S45" s="17">
        <v>150</v>
      </c>
      <c r="T45" s="17">
        <v>0</v>
      </c>
      <c r="U45" s="17">
        <v>0</v>
      </c>
      <c r="V45" s="17">
        <v>0</v>
      </c>
      <c r="W45" s="17">
        <v>0</v>
      </c>
      <c r="X45" s="17">
        <v>0</v>
      </c>
      <c r="Y45" s="17">
        <v>0</v>
      </c>
      <c r="Z45" s="17">
        <v>0</v>
      </c>
      <c r="AA45" s="17">
        <v>0</v>
      </c>
      <c r="AB45" s="17">
        <v>0</v>
      </c>
      <c r="AC45" s="17">
        <v>0</v>
      </c>
      <c r="AD45" s="17">
        <v>0</v>
      </c>
      <c r="AE45" s="17">
        <v>0</v>
      </c>
      <c r="AF45" s="17">
        <v>0</v>
      </c>
      <c r="AG45" s="17">
        <v>0</v>
      </c>
      <c r="AH45" s="17">
        <v>0</v>
      </c>
      <c r="AI45" s="17">
        <v>0</v>
      </c>
      <c r="AJ45" s="17">
        <v>0</v>
      </c>
      <c r="AK45" s="19">
        <f>SUM(WeeklyExpenditure[[#This Row],[FOOD, WATER AND DRINKS]:[MISCELLANEOUS (Soap, Washing Powder, Others)]])</f>
        <v>325</v>
      </c>
    </row>
    <row r="46" spans="1:37" s="15" customFormat="1" hidden="1" x14ac:dyDescent="0.25">
      <c r="A46" s="8">
        <f t="shared" si="0"/>
        <v>44513</v>
      </c>
      <c r="B46" s="17">
        <v>25</v>
      </c>
      <c r="C46" s="17">
        <v>0</v>
      </c>
      <c r="D46" s="17">
        <v>0</v>
      </c>
      <c r="E46" s="17">
        <v>130</v>
      </c>
      <c r="F46" s="17">
        <v>400</v>
      </c>
      <c r="G46" s="17">
        <v>30</v>
      </c>
      <c r="H46" s="18">
        <v>0</v>
      </c>
      <c r="I46" s="18">
        <v>0</v>
      </c>
      <c r="J46" s="17">
        <v>0</v>
      </c>
      <c r="K46" s="17">
        <v>0</v>
      </c>
      <c r="L46" s="17">
        <v>0</v>
      </c>
      <c r="M46" s="17">
        <v>0</v>
      </c>
      <c r="N46" s="17">
        <v>0</v>
      </c>
      <c r="O46" s="17">
        <v>0</v>
      </c>
      <c r="P46" s="17">
        <v>0</v>
      </c>
      <c r="Q46" s="17">
        <v>0</v>
      </c>
      <c r="R46" s="17">
        <v>0</v>
      </c>
      <c r="S46" s="17">
        <v>1475</v>
      </c>
      <c r="T46" s="17">
        <v>100</v>
      </c>
      <c r="U46" s="17">
        <v>0</v>
      </c>
      <c r="V46" s="17">
        <v>220</v>
      </c>
      <c r="W46" s="17">
        <v>0</v>
      </c>
      <c r="X46" s="17">
        <v>0</v>
      </c>
      <c r="Y46" s="17">
        <v>0</v>
      </c>
      <c r="Z46" s="17">
        <v>0</v>
      </c>
      <c r="AA46" s="17">
        <v>0</v>
      </c>
      <c r="AB46" s="17">
        <v>0</v>
      </c>
      <c r="AC46" s="17">
        <v>0</v>
      </c>
      <c r="AD46" s="17">
        <v>0</v>
      </c>
      <c r="AE46" s="17">
        <v>0</v>
      </c>
      <c r="AF46" s="17">
        <v>0</v>
      </c>
      <c r="AG46" s="17">
        <v>0</v>
      </c>
      <c r="AH46" s="17">
        <v>0</v>
      </c>
      <c r="AI46" s="17">
        <v>0</v>
      </c>
      <c r="AJ46" s="17">
        <v>0</v>
      </c>
      <c r="AK46" s="19">
        <f>SUM(WeeklyExpenditure[[#This Row],[FOOD, WATER AND DRINKS]:[MISCELLANEOUS (Soap, Washing Powder, Others)]])</f>
        <v>2380</v>
      </c>
    </row>
    <row r="47" spans="1:37" s="15" customFormat="1" hidden="1" x14ac:dyDescent="0.25">
      <c r="A47" s="8">
        <f t="shared" si="0"/>
        <v>44520</v>
      </c>
      <c r="B47" s="17">
        <v>0</v>
      </c>
      <c r="C47" s="17">
        <v>0</v>
      </c>
      <c r="D47" s="17">
        <v>0</v>
      </c>
      <c r="E47" s="17">
        <v>0</v>
      </c>
      <c r="F47" s="17">
        <v>0</v>
      </c>
      <c r="G47" s="17">
        <v>0</v>
      </c>
      <c r="H47" s="18">
        <v>0</v>
      </c>
      <c r="I47" s="18">
        <v>0</v>
      </c>
      <c r="J47" s="17">
        <v>0</v>
      </c>
      <c r="K47" s="17">
        <v>0</v>
      </c>
      <c r="L47" s="17">
        <v>0</v>
      </c>
      <c r="M47" s="17">
        <v>0</v>
      </c>
      <c r="N47" s="17">
        <v>0</v>
      </c>
      <c r="O47" s="17">
        <v>0</v>
      </c>
      <c r="P47" s="17">
        <v>0</v>
      </c>
      <c r="Q47" s="17">
        <v>0</v>
      </c>
      <c r="R47" s="17">
        <v>0</v>
      </c>
      <c r="S47" s="17">
        <v>0</v>
      </c>
      <c r="T47" s="17">
        <v>0</v>
      </c>
      <c r="U47" s="17">
        <v>0</v>
      </c>
      <c r="V47" s="17">
        <v>0</v>
      </c>
      <c r="W47" s="17">
        <v>0</v>
      </c>
      <c r="X47" s="17">
        <v>0</v>
      </c>
      <c r="Y47" s="17">
        <v>0</v>
      </c>
      <c r="Z47" s="17">
        <v>0</v>
      </c>
      <c r="AA47" s="17">
        <v>0</v>
      </c>
      <c r="AB47" s="17">
        <v>0</v>
      </c>
      <c r="AC47" s="17">
        <v>0</v>
      </c>
      <c r="AD47" s="17">
        <v>0</v>
      </c>
      <c r="AE47" s="17">
        <v>0</v>
      </c>
      <c r="AF47" s="17">
        <v>0</v>
      </c>
      <c r="AG47" s="17">
        <v>0</v>
      </c>
      <c r="AH47" s="17">
        <v>0</v>
      </c>
      <c r="AI47" s="17">
        <v>0</v>
      </c>
      <c r="AJ47" s="17">
        <v>0</v>
      </c>
      <c r="AK47" s="19">
        <f>SUM(WeeklyExpenditure[[#This Row],[FOOD, WATER AND DRINKS]:[MISCELLANEOUS (Soap, Washing Powder, Others)]])</f>
        <v>0</v>
      </c>
    </row>
    <row r="48" spans="1:37" s="15" customFormat="1" hidden="1" x14ac:dyDescent="0.25">
      <c r="A48" s="8">
        <f t="shared" si="0"/>
        <v>44527</v>
      </c>
      <c r="B48" s="17">
        <v>0</v>
      </c>
      <c r="C48" s="17">
        <v>0</v>
      </c>
      <c r="D48" s="17">
        <v>0</v>
      </c>
      <c r="E48" s="17">
        <v>0</v>
      </c>
      <c r="F48" s="17">
        <v>460</v>
      </c>
      <c r="G48" s="17">
        <v>15</v>
      </c>
      <c r="H48" s="18">
        <v>0</v>
      </c>
      <c r="I48" s="18">
        <v>0</v>
      </c>
      <c r="J48" s="17">
        <v>0</v>
      </c>
      <c r="K48" s="17">
        <v>0</v>
      </c>
      <c r="L48" s="17">
        <v>0</v>
      </c>
      <c r="M48" s="17">
        <v>0</v>
      </c>
      <c r="N48" s="17">
        <v>0</v>
      </c>
      <c r="O48" s="17">
        <v>0</v>
      </c>
      <c r="P48" s="17">
        <v>0</v>
      </c>
      <c r="Q48" s="17">
        <v>0</v>
      </c>
      <c r="R48" s="17">
        <v>0</v>
      </c>
      <c r="S48" s="17">
        <v>420</v>
      </c>
      <c r="T48" s="17">
        <v>0</v>
      </c>
      <c r="U48" s="17">
        <v>0</v>
      </c>
      <c r="V48" s="17">
        <v>390</v>
      </c>
      <c r="W48" s="17">
        <v>0</v>
      </c>
      <c r="X48" s="17">
        <v>0</v>
      </c>
      <c r="Y48" s="17">
        <v>0</v>
      </c>
      <c r="Z48" s="17">
        <v>0</v>
      </c>
      <c r="AA48" s="17">
        <v>0</v>
      </c>
      <c r="AB48" s="17">
        <v>0</v>
      </c>
      <c r="AC48" s="17">
        <v>0</v>
      </c>
      <c r="AD48" s="17">
        <v>0</v>
      </c>
      <c r="AE48" s="17">
        <v>0</v>
      </c>
      <c r="AF48" s="17">
        <v>0</v>
      </c>
      <c r="AG48" s="17">
        <v>0</v>
      </c>
      <c r="AH48" s="17">
        <v>0</v>
      </c>
      <c r="AI48" s="17">
        <v>0</v>
      </c>
      <c r="AJ48" s="17">
        <v>0</v>
      </c>
      <c r="AK48" s="19">
        <f>SUM(WeeklyExpenditure[[#This Row],[FOOD, WATER AND DRINKS]:[MISCELLANEOUS (Soap, Washing Powder, Others)]])</f>
        <v>1285</v>
      </c>
    </row>
    <row r="49" spans="1:37" s="15" customFormat="1" hidden="1" x14ac:dyDescent="0.25">
      <c r="A49" s="8">
        <f t="shared" si="0"/>
        <v>44534</v>
      </c>
      <c r="B49" s="17">
        <v>25</v>
      </c>
      <c r="C49" s="17">
        <v>0</v>
      </c>
      <c r="D49" s="17">
        <v>0</v>
      </c>
      <c r="E49" s="17">
        <v>90</v>
      </c>
      <c r="F49" s="17">
        <v>0</v>
      </c>
      <c r="G49" s="17">
        <v>0</v>
      </c>
      <c r="H49" s="18">
        <v>0</v>
      </c>
      <c r="I49" s="18">
        <v>0</v>
      </c>
      <c r="J49" s="17">
        <v>0</v>
      </c>
      <c r="K49" s="17">
        <v>0</v>
      </c>
      <c r="L49" s="17">
        <v>0</v>
      </c>
      <c r="M49" s="17">
        <v>0</v>
      </c>
      <c r="N49" s="17">
        <v>0</v>
      </c>
      <c r="O49" s="17">
        <v>0</v>
      </c>
      <c r="P49" s="17">
        <v>0</v>
      </c>
      <c r="Q49" s="17">
        <v>0</v>
      </c>
      <c r="R49" s="17">
        <v>0</v>
      </c>
      <c r="S49" s="17">
        <v>0</v>
      </c>
      <c r="T49" s="17">
        <v>100</v>
      </c>
      <c r="U49" s="17">
        <v>0</v>
      </c>
      <c r="V49" s="17">
        <v>125</v>
      </c>
      <c r="W49" s="17">
        <v>220</v>
      </c>
      <c r="X49" s="17">
        <v>0</v>
      </c>
      <c r="Y49" s="17">
        <v>0</v>
      </c>
      <c r="Z49" s="17">
        <v>0</v>
      </c>
      <c r="AA49" s="17">
        <v>0</v>
      </c>
      <c r="AB49" s="17">
        <v>0</v>
      </c>
      <c r="AC49" s="17">
        <v>0</v>
      </c>
      <c r="AD49" s="17">
        <v>0</v>
      </c>
      <c r="AE49" s="17">
        <v>0</v>
      </c>
      <c r="AF49" s="17">
        <v>0</v>
      </c>
      <c r="AG49" s="17">
        <v>0</v>
      </c>
      <c r="AH49" s="17">
        <v>0</v>
      </c>
      <c r="AI49" s="17">
        <v>0</v>
      </c>
      <c r="AJ49" s="17">
        <v>0</v>
      </c>
      <c r="AK49" s="19">
        <f>SUM(WeeklyExpenditure[[#This Row],[FOOD, WATER AND DRINKS]:[MISCELLANEOUS (Soap, Washing Powder, Others)]])</f>
        <v>560</v>
      </c>
    </row>
    <row r="50" spans="1:37" s="15" customFormat="1" hidden="1" x14ac:dyDescent="0.25">
      <c r="A50" s="8">
        <f t="shared" si="0"/>
        <v>44541</v>
      </c>
      <c r="B50" s="17">
        <v>0</v>
      </c>
      <c r="C50" s="17">
        <v>0</v>
      </c>
      <c r="D50" s="17">
        <v>0</v>
      </c>
      <c r="E50" s="17">
        <v>0</v>
      </c>
      <c r="F50" s="17">
        <v>0</v>
      </c>
      <c r="G50" s="17">
        <v>0</v>
      </c>
      <c r="H50" s="18">
        <v>0</v>
      </c>
      <c r="I50" s="18">
        <v>0</v>
      </c>
      <c r="J50" s="17">
        <v>0</v>
      </c>
      <c r="K50" s="17">
        <v>0</v>
      </c>
      <c r="L50" s="17">
        <v>0</v>
      </c>
      <c r="M50" s="17">
        <v>0</v>
      </c>
      <c r="N50" s="17">
        <v>0</v>
      </c>
      <c r="O50" s="17">
        <v>0</v>
      </c>
      <c r="P50" s="17">
        <v>0</v>
      </c>
      <c r="Q50" s="17">
        <v>0</v>
      </c>
      <c r="R50" s="17">
        <v>0</v>
      </c>
      <c r="S50" s="17">
        <v>0</v>
      </c>
      <c r="T50" s="17">
        <v>0</v>
      </c>
      <c r="U50" s="17">
        <v>0</v>
      </c>
      <c r="V50" s="17">
        <v>0</v>
      </c>
      <c r="W50" s="17">
        <v>0</v>
      </c>
      <c r="X50" s="17">
        <v>0</v>
      </c>
      <c r="Y50" s="17">
        <v>0</v>
      </c>
      <c r="Z50" s="17">
        <v>0</v>
      </c>
      <c r="AA50" s="17">
        <v>0</v>
      </c>
      <c r="AB50" s="17">
        <v>0</v>
      </c>
      <c r="AC50" s="17">
        <v>0</v>
      </c>
      <c r="AD50" s="17">
        <v>0</v>
      </c>
      <c r="AE50" s="17">
        <v>0</v>
      </c>
      <c r="AF50" s="17">
        <v>0</v>
      </c>
      <c r="AG50" s="17">
        <v>0</v>
      </c>
      <c r="AH50" s="17">
        <v>0</v>
      </c>
      <c r="AI50" s="17">
        <v>0</v>
      </c>
      <c r="AJ50" s="17">
        <v>0</v>
      </c>
      <c r="AK50" s="19">
        <f>SUM(WeeklyExpenditure[[#This Row],[FOOD, WATER AND DRINKS]:[MISCELLANEOUS (Soap, Washing Powder, Others)]])</f>
        <v>0</v>
      </c>
    </row>
    <row r="51" spans="1:37" s="15" customFormat="1" hidden="1" x14ac:dyDescent="0.25">
      <c r="A51" s="8">
        <f t="shared" si="0"/>
        <v>44548</v>
      </c>
      <c r="B51" s="17">
        <v>178</v>
      </c>
      <c r="C51" s="17">
        <v>0</v>
      </c>
      <c r="D51" s="17">
        <v>0</v>
      </c>
      <c r="E51" s="17">
        <v>0</v>
      </c>
      <c r="F51" s="17">
        <v>0</v>
      </c>
      <c r="G51" s="17">
        <v>45</v>
      </c>
      <c r="H51" s="18">
        <v>10017</v>
      </c>
      <c r="I51" s="18">
        <v>0</v>
      </c>
      <c r="J51" s="17">
        <v>0</v>
      </c>
      <c r="K51" s="17">
        <v>0</v>
      </c>
      <c r="L51" s="17">
        <v>1900</v>
      </c>
      <c r="M51" s="17">
        <v>1022</v>
      </c>
      <c r="N51" s="17">
        <v>0</v>
      </c>
      <c r="O51" s="17">
        <v>0</v>
      </c>
      <c r="P51" s="17">
        <v>0</v>
      </c>
      <c r="Q51" s="17">
        <v>0</v>
      </c>
      <c r="R51" s="17">
        <v>0</v>
      </c>
      <c r="S51" s="17">
        <v>0</v>
      </c>
      <c r="T51" s="17">
        <v>0</v>
      </c>
      <c r="U51" s="17">
        <v>0</v>
      </c>
      <c r="V51" s="17">
        <v>200</v>
      </c>
      <c r="W51" s="17">
        <v>0</v>
      </c>
      <c r="X51" s="17">
        <v>0</v>
      </c>
      <c r="Y51" s="17">
        <v>1795</v>
      </c>
      <c r="Z51" s="17">
        <v>207</v>
      </c>
      <c r="AA51" s="17">
        <v>0</v>
      </c>
      <c r="AB51" s="17">
        <v>0</v>
      </c>
      <c r="AC51" s="17">
        <v>0</v>
      </c>
      <c r="AD51" s="17">
        <v>0</v>
      </c>
      <c r="AE51" s="17">
        <v>0</v>
      </c>
      <c r="AF51" s="17">
        <v>0</v>
      </c>
      <c r="AG51" s="17">
        <v>0</v>
      </c>
      <c r="AH51" s="17">
        <v>0</v>
      </c>
      <c r="AI51" s="17">
        <v>175</v>
      </c>
      <c r="AJ51" s="17">
        <v>0</v>
      </c>
      <c r="AK51" s="19">
        <f>SUM(WeeklyExpenditure[[#This Row],[FOOD, WATER AND DRINKS]:[MISCELLANEOUS (Soap, Washing Powder, Others)]])</f>
        <v>15539</v>
      </c>
    </row>
    <row r="52" spans="1:37" s="15" customFormat="1" hidden="1" x14ac:dyDescent="0.25">
      <c r="A52" s="8">
        <f t="shared" si="0"/>
        <v>44555</v>
      </c>
      <c r="B52" s="17">
        <v>0</v>
      </c>
      <c r="C52" s="17">
        <v>0</v>
      </c>
      <c r="D52" s="17">
        <v>0</v>
      </c>
      <c r="E52" s="17">
        <v>50</v>
      </c>
      <c r="F52" s="17">
        <v>0</v>
      </c>
      <c r="G52" s="17">
        <v>0</v>
      </c>
      <c r="H52" s="18">
        <v>0</v>
      </c>
      <c r="I52" s="18">
        <v>1870</v>
      </c>
      <c r="J52" s="17">
        <v>0</v>
      </c>
      <c r="K52" s="17">
        <v>0</v>
      </c>
      <c r="L52" s="17">
        <v>0</v>
      </c>
      <c r="M52" s="17">
        <v>550</v>
      </c>
      <c r="N52" s="17">
        <v>0</v>
      </c>
      <c r="O52" s="17">
        <v>0</v>
      </c>
      <c r="P52" s="17">
        <v>0</v>
      </c>
      <c r="Q52" s="17">
        <v>0</v>
      </c>
      <c r="R52" s="17">
        <v>0</v>
      </c>
      <c r="S52" s="17">
        <v>0</v>
      </c>
      <c r="T52" s="17">
        <v>50</v>
      </c>
      <c r="U52" s="17">
        <v>0</v>
      </c>
      <c r="V52" s="17">
        <v>100</v>
      </c>
      <c r="W52" s="17">
        <v>0</v>
      </c>
      <c r="X52" s="17">
        <v>0</v>
      </c>
      <c r="Y52" s="17">
        <v>0</v>
      </c>
      <c r="Z52" s="17">
        <v>0</v>
      </c>
      <c r="AA52" s="17">
        <v>0</v>
      </c>
      <c r="AB52" s="17">
        <v>0</v>
      </c>
      <c r="AC52" s="17">
        <v>0</v>
      </c>
      <c r="AD52" s="17">
        <v>0</v>
      </c>
      <c r="AE52" s="17">
        <v>0</v>
      </c>
      <c r="AF52" s="17">
        <v>0</v>
      </c>
      <c r="AG52" s="17">
        <v>0</v>
      </c>
      <c r="AH52" s="17">
        <v>0</v>
      </c>
      <c r="AI52" s="17">
        <v>0</v>
      </c>
      <c r="AJ52" s="17">
        <v>0</v>
      </c>
      <c r="AK52" s="19">
        <f>SUM(WeeklyExpenditure[[#This Row],[FOOD, WATER AND DRINKS]:[MISCELLANEOUS (Soap, Washing Powder, Others)]])</f>
        <v>2620</v>
      </c>
    </row>
    <row r="53" spans="1:37" s="15" customFormat="1" hidden="1" x14ac:dyDescent="0.25">
      <c r="A53" s="8">
        <f t="shared" si="0"/>
        <v>44562</v>
      </c>
      <c r="B53" s="17">
        <v>0</v>
      </c>
      <c r="C53" s="17">
        <v>0</v>
      </c>
      <c r="D53" s="17">
        <v>0</v>
      </c>
      <c r="E53" s="17">
        <v>0</v>
      </c>
      <c r="F53" s="17">
        <v>0</v>
      </c>
      <c r="G53" s="17">
        <v>0</v>
      </c>
      <c r="H53" s="18">
        <v>0</v>
      </c>
      <c r="I53" s="18">
        <v>0</v>
      </c>
      <c r="J53" s="17">
        <v>0</v>
      </c>
      <c r="K53" s="17">
        <v>0</v>
      </c>
      <c r="L53" s="17">
        <v>0</v>
      </c>
      <c r="M53" s="17">
        <v>0</v>
      </c>
      <c r="N53" s="17">
        <v>0</v>
      </c>
      <c r="O53" s="17">
        <v>0</v>
      </c>
      <c r="P53" s="17">
        <v>0</v>
      </c>
      <c r="Q53" s="17">
        <v>0</v>
      </c>
      <c r="R53" s="17">
        <v>0</v>
      </c>
      <c r="S53" s="17">
        <v>0</v>
      </c>
      <c r="T53" s="17">
        <v>0</v>
      </c>
      <c r="U53" s="17">
        <v>0</v>
      </c>
      <c r="V53" s="17">
        <v>0</v>
      </c>
      <c r="W53" s="17">
        <v>0</v>
      </c>
      <c r="X53" s="17">
        <v>0</v>
      </c>
      <c r="Y53" s="17">
        <v>0</v>
      </c>
      <c r="Z53" s="17">
        <v>0</v>
      </c>
      <c r="AA53" s="17">
        <v>0</v>
      </c>
      <c r="AB53" s="17">
        <v>0</v>
      </c>
      <c r="AC53" s="17">
        <v>0</v>
      </c>
      <c r="AD53" s="17">
        <v>0</v>
      </c>
      <c r="AE53" s="17">
        <v>0</v>
      </c>
      <c r="AF53" s="17">
        <v>0</v>
      </c>
      <c r="AG53" s="17">
        <v>0</v>
      </c>
      <c r="AH53" s="17">
        <v>0</v>
      </c>
      <c r="AI53" s="17">
        <v>0</v>
      </c>
      <c r="AJ53" s="17">
        <v>0</v>
      </c>
      <c r="AK53" s="19">
        <f>SUM(WeeklyExpenditure[[#This Row],[FOOD, WATER AND DRINKS]:[MISCELLANEOUS (Soap, Washing Powder, Others)]])</f>
        <v>0</v>
      </c>
    </row>
    <row r="54" spans="1:37" s="15" customFormat="1" hidden="1" x14ac:dyDescent="0.25">
      <c r="A54" s="8">
        <f t="shared" si="0"/>
        <v>44569</v>
      </c>
      <c r="B54" s="17">
        <v>25</v>
      </c>
      <c r="C54" s="17">
        <v>0</v>
      </c>
      <c r="D54" s="17">
        <v>0</v>
      </c>
      <c r="E54" s="17">
        <v>50</v>
      </c>
      <c r="F54" s="17">
        <v>100</v>
      </c>
      <c r="G54" s="17">
        <v>0</v>
      </c>
      <c r="H54" s="18">
        <v>0</v>
      </c>
      <c r="I54" s="18">
        <v>0</v>
      </c>
      <c r="J54" s="17">
        <v>0</v>
      </c>
      <c r="K54" s="17">
        <v>0</v>
      </c>
      <c r="L54" s="17">
        <v>0</v>
      </c>
      <c r="M54" s="17">
        <v>0</v>
      </c>
      <c r="N54" s="17">
        <v>0</v>
      </c>
      <c r="O54" s="17">
        <v>0</v>
      </c>
      <c r="P54" s="17">
        <v>0</v>
      </c>
      <c r="Q54" s="17">
        <v>0</v>
      </c>
      <c r="R54" s="17">
        <v>0</v>
      </c>
      <c r="S54" s="17">
        <v>100</v>
      </c>
      <c r="T54" s="17">
        <v>0</v>
      </c>
      <c r="U54" s="17">
        <v>0</v>
      </c>
      <c r="V54" s="17">
        <v>0</v>
      </c>
      <c r="W54" s="17">
        <v>0</v>
      </c>
      <c r="X54" s="17">
        <v>0</v>
      </c>
      <c r="Y54" s="17">
        <v>0</v>
      </c>
      <c r="Z54" s="17">
        <v>0</v>
      </c>
      <c r="AA54" s="17">
        <v>0</v>
      </c>
      <c r="AB54" s="17">
        <v>0</v>
      </c>
      <c r="AC54" s="17">
        <v>0</v>
      </c>
      <c r="AD54" s="17">
        <v>0</v>
      </c>
      <c r="AE54" s="17">
        <v>0</v>
      </c>
      <c r="AF54" s="17">
        <v>0</v>
      </c>
      <c r="AG54" s="17">
        <v>0</v>
      </c>
      <c r="AH54" s="17">
        <v>0</v>
      </c>
      <c r="AI54" s="17">
        <v>0</v>
      </c>
      <c r="AJ54" s="17">
        <v>0</v>
      </c>
      <c r="AK54" s="19">
        <f>SUM(WeeklyExpenditure[[#This Row],[FOOD, WATER AND DRINKS]:[MISCELLANEOUS (Soap, Washing Powder, Others)]])</f>
        <v>275</v>
      </c>
    </row>
    <row r="55" spans="1:37" s="15" customFormat="1" hidden="1" x14ac:dyDescent="0.25">
      <c r="A55" s="8">
        <f t="shared" si="0"/>
        <v>44576</v>
      </c>
      <c r="B55" s="17">
        <v>0</v>
      </c>
      <c r="C55" s="17">
        <v>0</v>
      </c>
      <c r="D55" s="17">
        <v>0</v>
      </c>
      <c r="E55" s="17">
        <v>0</v>
      </c>
      <c r="F55" s="17">
        <v>0</v>
      </c>
      <c r="G55" s="17">
        <v>0</v>
      </c>
      <c r="H55" s="18">
        <v>0</v>
      </c>
      <c r="I55" s="18">
        <v>0</v>
      </c>
      <c r="J55" s="17">
        <v>0</v>
      </c>
      <c r="K55" s="17">
        <v>0</v>
      </c>
      <c r="L55" s="17">
        <v>0</v>
      </c>
      <c r="M55" s="17">
        <v>0</v>
      </c>
      <c r="N55" s="17">
        <v>0</v>
      </c>
      <c r="O55" s="17">
        <v>0</v>
      </c>
      <c r="P55" s="17">
        <v>0</v>
      </c>
      <c r="Q55" s="17">
        <v>0</v>
      </c>
      <c r="R55" s="17">
        <v>0</v>
      </c>
      <c r="S55" s="17">
        <v>0</v>
      </c>
      <c r="T55" s="17">
        <v>60</v>
      </c>
      <c r="U55" s="17">
        <v>0</v>
      </c>
      <c r="V55" s="17">
        <v>0</v>
      </c>
      <c r="W55" s="17">
        <v>0</v>
      </c>
      <c r="X55" s="17">
        <v>0</v>
      </c>
      <c r="Y55" s="17">
        <v>0</v>
      </c>
      <c r="Z55" s="17">
        <v>125</v>
      </c>
      <c r="AA55" s="17">
        <v>0</v>
      </c>
      <c r="AB55" s="17">
        <v>0</v>
      </c>
      <c r="AC55" s="17">
        <v>0</v>
      </c>
      <c r="AD55" s="17">
        <v>0</v>
      </c>
      <c r="AE55" s="17">
        <v>0</v>
      </c>
      <c r="AF55" s="17">
        <v>0</v>
      </c>
      <c r="AG55" s="17">
        <v>0</v>
      </c>
      <c r="AH55" s="17">
        <v>0</v>
      </c>
      <c r="AI55" s="17">
        <v>0</v>
      </c>
      <c r="AJ55" s="17">
        <v>0</v>
      </c>
      <c r="AK55" s="19">
        <f>SUM(WeeklyExpenditure[[#This Row],[FOOD, WATER AND DRINKS]:[MISCELLANEOUS (Soap, Washing Powder, Others)]])</f>
        <v>185</v>
      </c>
    </row>
    <row r="56" spans="1:37" s="15" customFormat="1" hidden="1" x14ac:dyDescent="0.25">
      <c r="A56" s="8">
        <f t="shared" si="0"/>
        <v>44583</v>
      </c>
      <c r="B56" s="17">
        <v>135</v>
      </c>
      <c r="C56" s="17">
        <v>0</v>
      </c>
      <c r="D56" s="17">
        <v>0</v>
      </c>
      <c r="E56" s="17">
        <v>120</v>
      </c>
      <c r="F56" s="17">
        <v>1520</v>
      </c>
      <c r="G56" s="17">
        <v>50</v>
      </c>
      <c r="H56" s="18">
        <v>0</v>
      </c>
      <c r="I56" s="18">
        <v>0</v>
      </c>
      <c r="J56" s="17">
        <v>0</v>
      </c>
      <c r="K56" s="17">
        <v>0</v>
      </c>
      <c r="L56" s="17">
        <v>0</v>
      </c>
      <c r="M56" s="17">
        <v>0</v>
      </c>
      <c r="N56" s="17">
        <v>0</v>
      </c>
      <c r="O56" s="17">
        <v>0</v>
      </c>
      <c r="P56" s="17">
        <v>0</v>
      </c>
      <c r="Q56" s="17">
        <v>0</v>
      </c>
      <c r="R56" s="17">
        <v>60</v>
      </c>
      <c r="S56" s="17">
        <v>0</v>
      </c>
      <c r="T56" s="17">
        <v>60</v>
      </c>
      <c r="U56" s="17">
        <v>0</v>
      </c>
      <c r="V56" s="17">
        <v>0</v>
      </c>
      <c r="W56" s="17">
        <v>0</v>
      </c>
      <c r="X56" s="17">
        <v>0</v>
      </c>
      <c r="Y56" s="17">
        <v>0</v>
      </c>
      <c r="Z56" s="17">
        <v>125</v>
      </c>
      <c r="AA56" s="17">
        <v>0</v>
      </c>
      <c r="AB56" s="17">
        <v>0</v>
      </c>
      <c r="AC56" s="17">
        <v>0</v>
      </c>
      <c r="AD56" s="17">
        <v>0</v>
      </c>
      <c r="AE56" s="17">
        <v>0</v>
      </c>
      <c r="AF56" s="17">
        <v>0</v>
      </c>
      <c r="AG56" s="17">
        <v>0</v>
      </c>
      <c r="AH56" s="17">
        <v>0</v>
      </c>
      <c r="AI56" s="17">
        <v>0</v>
      </c>
      <c r="AJ56" s="17">
        <v>0</v>
      </c>
      <c r="AK56" s="19">
        <f>SUM(WeeklyExpenditure[[#This Row],[FOOD, WATER AND DRINKS]:[MISCELLANEOUS (Soap, Washing Powder, Others)]])</f>
        <v>2070</v>
      </c>
    </row>
    <row r="57" spans="1:37" s="15" customFormat="1" hidden="1" x14ac:dyDescent="0.25">
      <c r="A57" s="8">
        <f t="shared" si="0"/>
        <v>44590</v>
      </c>
      <c r="B57" s="17">
        <v>0</v>
      </c>
      <c r="C57" s="17">
        <v>0</v>
      </c>
      <c r="D57" s="17">
        <v>0</v>
      </c>
      <c r="E57" s="17">
        <v>0</v>
      </c>
      <c r="F57" s="17">
        <v>0</v>
      </c>
      <c r="G57" s="17">
        <v>968.5</v>
      </c>
      <c r="H57" s="18">
        <v>0</v>
      </c>
      <c r="I57" s="18">
        <v>0</v>
      </c>
      <c r="J57" s="17">
        <v>0</v>
      </c>
      <c r="K57" s="17">
        <v>0</v>
      </c>
      <c r="L57" s="17">
        <v>0</v>
      </c>
      <c r="M57" s="17">
        <v>850</v>
      </c>
      <c r="N57" s="17">
        <v>0</v>
      </c>
      <c r="O57" s="17">
        <v>0</v>
      </c>
      <c r="P57" s="17">
        <v>0</v>
      </c>
      <c r="Q57" s="17">
        <v>0</v>
      </c>
      <c r="R57" s="17">
        <v>0</v>
      </c>
      <c r="S57" s="17">
        <v>0</v>
      </c>
      <c r="T57" s="17">
        <v>0</v>
      </c>
      <c r="U57" s="17">
        <v>0</v>
      </c>
      <c r="V57" s="17">
        <v>350</v>
      </c>
      <c r="W57" s="17">
        <v>0</v>
      </c>
      <c r="X57" s="17">
        <v>0</v>
      </c>
      <c r="Y57" s="17">
        <v>0</v>
      </c>
      <c r="Z57" s="17">
        <v>0</v>
      </c>
      <c r="AA57" s="17">
        <v>0</v>
      </c>
      <c r="AB57" s="17">
        <v>0</v>
      </c>
      <c r="AC57" s="17">
        <v>0</v>
      </c>
      <c r="AD57" s="17">
        <v>0</v>
      </c>
      <c r="AE57" s="17">
        <v>0</v>
      </c>
      <c r="AF57" s="17">
        <v>0</v>
      </c>
      <c r="AG57" s="17">
        <v>0</v>
      </c>
      <c r="AH57" s="17">
        <v>0</v>
      </c>
      <c r="AI57" s="17">
        <v>0</v>
      </c>
      <c r="AJ57" s="17">
        <v>117</v>
      </c>
      <c r="AK57" s="19">
        <f>SUM(WeeklyExpenditure[[#This Row],[FOOD, WATER AND DRINKS]:[MISCELLANEOUS (Soap, Washing Powder, Others)]])</f>
        <v>2285.5</v>
      </c>
    </row>
    <row r="58" spans="1:37" s="15" customFormat="1" hidden="1" x14ac:dyDescent="0.25">
      <c r="A58" s="8">
        <f t="shared" si="0"/>
        <v>44597</v>
      </c>
      <c r="B58" s="17">
        <v>75</v>
      </c>
      <c r="C58" s="17">
        <v>0</v>
      </c>
      <c r="D58" s="17">
        <v>0</v>
      </c>
      <c r="E58" s="17">
        <v>150</v>
      </c>
      <c r="F58" s="17">
        <v>0</v>
      </c>
      <c r="G58" s="17">
        <v>0</v>
      </c>
      <c r="H58" s="18">
        <v>0</v>
      </c>
      <c r="I58" s="18">
        <v>0</v>
      </c>
      <c r="J58" s="17">
        <v>0</v>
      </c>
      <c r="K58" s="17">
        <v>0</v>
      </c>
      <c r="L58" s="17">
        <v>0</v>
      </c>
      <c r="M58" s="17">
        <v>0</v>
      </c>
      <c r="N58" s="17">
        <v>45</v>
      </c>
      <c r="O58" s="17">
        <v>0</v>
      </c>
      <c r="P58" s="17">
        <v>0</v>
      </c>
      <c r="Q58" s="17">
        <v>0</v>
      </c>
      <c r="R58" s="17">
        <v>0</v>
      </c>
      <c r="S58" s="17">
        <v>0</v>
      </c>
      <c r="T58" s="17">
        <v>0</v>
      </c>
      <c r="U58" s="17">
        <v>0</v>
      </c>
      <c r="V58" s="17">
        <v>0</v>
      </c>
      <c r="W58" s="17">
        <v>0</v>
      </c>
      <c r="X58" s="17">
        <v>0</v>
      </c>
      <c r="Y58" s="17">
        <v>0</v>
      </c>
      <c r="Z58" s="17">
        <v>0</v>
      </c>
      <c r="AA58" s="17">
        <v>0</v>
      </c>
      <c r="AB58" s="17">
        <v>0</v>
      </c>
      <c r="AC58" s="17">
        <v>0</v>
      </c>
      <c r="AD58" s="17">
        <v>0</v>
      </c>
      <c r="AE58" s="17">
        <v>0</v>
      </c>
      <c r="AF58" s="17">
        <v>0</v>
      </c>
      <c r="AG58" s="17">
        <v>0</v>
      </c>
      <c r="AH58" s="17">
        <v>0</v>
      </c>
      <c r="AI58" s="17">
        <v>0</v>
      </c>
      <c r="AJ58" s="17">
        <v>0</v>
      </c>
      <c r="AK58" s="19">
        <f>SUM(WeeklyExpenditure[[#This Row],[FOOD, WATER AND DRINKS]:[MISCELLANEOUS (Soap, Washing Powder, Others)]])</f>
        <v>270</v>
      </c>
    </row>
    <row r="59" spans="1:37" s="15" customFormat="1" hidden="1" x14ac:dyDescent="0.25">
      <c r="A59" s="8">
        <f t="shared" si="0"/>
        <v>44604</v>
      </c>
      <c r="B59" s="17">
        <v>0</v>
      </c>
      <c r="C59" s="17">
        <v>0</v>
      </c>
      <c r="D59" s="17">
        <v>0</v>
      </c>
      <c r="E59" s="17">
        <v>50</v>
      </c>
      <c r="F59" s="17">
        <v>0</v>
      </c>
      <c r="G59" s="17">
        <v>0</v>
      </c>
      <c r="H59" s="18">
        <v>0</v>
      </c>
      <c r="I59" s="18">
        <v>0</v>
      </c>
      <c r="J59" s="17">
        <v>0</v>
      </c>
      <c r="K59" s="17">
        <v>0</v>
      </c>
      <c r="L59" s="17">
        <v>0</v>
      </c>
      <c r="M59" s="17">
        <v>277</v>
      </c>
      <c r="N59" s="17">
        <v>0</v>
      </c>
      <c r="O59" s="17">
        <v>0</v>
      </c>
      <c r="P59" s="17">
        <v>0</v>
      </c>
      <c r="Q59" s="17">
        <v>0</v>
      </c>
      <c r="R59" s="17">
        <v>0</v>
      </c>
      <c r="S59" s="17">
        <v>60</v>
      </c>
      <c r="T59" s="17">
        <v>0</v>
      </c>
      <c r="U59" s="17">
        <v>0</v>
      </c>
      <c r="V59" s="17">
        <v>0</v>
      </c>
      <c r="W59" s="17">
        <v>0</v>
      </c>
      <c r="X59" s="17">
        <v>0</v>
      </c>
      <c r="Y59" s="17">
        <v>0</v>
      </c>
      <c r="Z59" s="17">
        <v>75</v>
      </c>
      <c r="AA59" s="17">
        <v>0</v>
      </c>
      <c r="AB59" s="17">
        <v>0</v>
      </c>
      <c r="AC59" s="17">
        <v>0</v>
      </c>
      <c r="AD59" s="17">
        <v>0</v>
      </c>
      <c r="AE59" s="17">
        <v>0</v>
      </c>
      <c r="AF59" s="17">
        <v>0</v>
      </c>
      <c r="AG59" s="17">
        <v>0</v>
      </c>
      <c r="AH59" s="17">
        <v>0</v>
      </c>
      <c r="AI59" s="17">
        <v>0</v>
      </c>
      <c r="AJ59" s="17">
        <v>40</v>
      </c>
      <c r="AK59" s="19">
        <f>SUM(WeeklyExpenditure[[#This Row],[FOOD, WATER AND DRINKS]:[MISCELLANEOUS (Soap, Washing Powder, Others)]])</f>
        <v>502</v>
      </c>
    </row>
    <row r="60" spans="1:37" s="15" customFormat="1" hidden="1" x14ac:dyDescent="0.25">
      <c r="A60" s="8">
        <f t="shared" si="0"/>
        <v>44611</v>
      </c>
      <c r="B60" s="17">
        <v>0</v>
      </c>
      <c r="C60" s="17">
        <v>0</v>
      </c>
      <c r="D60" s="17">
        <v>0</v>
      </c>
      <c r="E60" s="17">
        <v>22</v>
      </c>
      <c r="F60" s="17">
        <v>50</v>
      </c>
      <c r="G60" s="17">
        <v>0</v>
      </c>
      <c r="H60" s="18">
        <v>0</v>
      </c>
      <c r="I60" s="18">
        <v>0</v>
      </c>
      <c r="J60" s="17">
        <v>0</v>
      </c>
      <c r="K60" s="17">
        <v>0</v>
      </c>
      <c r="L60" s="17">
        <v>0</v>
      </c>
      <c r="M60" s="17">
        <v>0</v>
      </c>
      <c r="N60" s="17">
        <v>20</v>
      </c>
      <c r="O60" s="17">
        <v>0</v>
      </c>
      <c r="P60" s="17">
        <v>30</v>
      </c>
      <c r="Q60" s="17">
        <v>0</v>
      </c>
      <c r="R60" s="17">
        <v>0</v>
      </c>
      <c r="S60" s="17">
        <v>320</v>
      </c>
      <c r="T60" s="17">
        <v>50</v>
      </c>
      <c r="U60" s="17">
        <v>0</v>
      </c>
      <c r="V60" s="17">
        <v>445</v>
      </c>
      <c r="W60" s="17">
        <v>0</v>
      </c>
      <c r="X60" s="17">
        <v>0</v>
      </c>
      <c r="Y60" s="17">
        <v>0</v>
      </c>
      <c r="Z60" s="17">
        <v>0</v>
      </c>
      <c r="AA60" s="17">
        <v>0</v>
      </c>
      <c r="AB60" s="17">
        <v>0</v>
      </c>
      <c r="AC60" s="17">
        <v>0</v>
      </c>
      <c r="AD60" s="17">
        <v>0</v>
      </c>
      <c r="AE60" s="17">
        <v>0</v>
      </c>
      <c r="AF60" s="17">
        <v>0</v>
      </c>
      <c r="AG60" s="17">
        <v>0</v>
      </c>
      <c r="AH60" s="17">
        <v>0</v>
      </c>
      <c r="AI60" s="17">
        <v>0</v>
      </c>
      <c r="AJ60" s="17">
        <v>6</v>
      </c>
      <c r="AK60" s="19">
        <f>SUM(WeeklyExpenditure[[#This Row],[FOOD, WATER AND DRINKS]:[MISCELLANEOUS (Soap, Washing Powder, Others)]])</f>
        <v>943</v>
      </c>
    </row>
    <row r="61" spans="1:37" s="15" customFormat="1" hidden="1" x14ac:dyDescent="0.25">
      <c r="A61" s="8">
        <f t="shared" si="0"/>
        <v>44618</v>
      </c>
      <c r="B61" s="17">
        <v>0</v>
      </c>
      <c r="C61" s="17">
        <v>0</v>
      </c>
      <c r="D61" s="17">
        <v>0</v>
      </c>
      <c r="E61" s="17">
        <v>0</v>
      </c>
      <c r="F61" s="17">
        <v>0</v>
      </c>
      <c r="G61" s="17">
        <v>0</v>
      </c>
      <c r="H61" s="18">
        <v>0</v>
      </c>
      <c r="I61" s="18">
        <v>0</v>
      </c>
      <c r="J61" s="17">
        <v>0</v>
      </c>
      <c r="K61" s="17">
        <v>0</v>
      </c>
      <c r="L61" s="17">
        <v>0</v>
      </c>
      <c r="M61" s="17">
        <v>0</v>
      </c>
      <c r="N61" s="17">
        <v>0</v>
      </c>
      <c r="O61" s="17">
        <v>0</v>
      </c>
      <c r="P61" s="17">
        <v>0</v>
      </c>
      <c r="Q61" s="17">
        <v>0</v>
      </c>
      <c r="R61" s="17">
        <v>0</v>
      </c>
      <c r="S61" s="17">
        <v>0</v>
      </c>
      <c r="T61" s="17">
        <v>0</v>
      </c>
      <c r="U61" s="17">
        <v>0</v>
      </c>
      <c r="V61" s="17">
        <v>0</v>
      </c>
      <c r="W61" s="17">
        <v>0</v>
      </c>
      <c r="X61" s="17">
        <v>0</v>
      </c>
      <c r="Y61" s="17">
        <v>0</v>
      </c>
      <c r="Z61" s="17">
        <v>0</v>
      </c>
      <c r="AA61" s="17">
        <v>0</v>
      </c>
      <c r="AB61" s="17">
        <v>0</v>
      </c>
      <c r="AC61" s="17">
        <v>0</v>
      </c>
      <c r="AD61" s="17">
        <v>0</v>
      </c>
      <c r="AE61" s="17">
        <v>0</v>
      </c>
      <c r="AF61" s="17">
        <v>0</v>
      </c>
      <c r="AG61" s="17">
        <v>0</v>
      </c>
      <c r="AH61" s="17">
        <v>0</v>
      </c>
      <c r="AI61" s="17">
        <v>0</v>
      </c>
      <c r="AJ61" s="17">
        <v>0</v>
      </c>
      <c r="AK61" s="19">
        <f>SUM(WeeklyExpenditure[[#This Row],[FOOD, WATER AND DRINKS]:[MISCELLANEOUS (Soap, Washing Powder, Others)]])</f>
        <v>0</v>
      </c>
    </row>
    <row r="62" spans="1:37" s="15" customFormat="1" hidden="1" x14ac:dyDescent="0.25">
      <c r="A62" s="8">
        <f t="shared" si="0"/>
        <v>44625</v>
      </c>
      <c r="B62" s="17">
        <v>0</v>
      </c>
      <c r="C62" s="17">
        <v>0</v>
      </c>
      <c r="D62" s="17">
        <v>0</v>
      </c>
      <c r="E62" s="17">
        <v>0</v>
      </c>
      <c r="F62" s="17">
        <v>0</v>
      </c>
      <c r="G62" s="17">
        <v>0</v>
      </c>
      <c r="H62" s="18">
        <v>0</v>
      </c>
      <c r="I62" s="18">
        <v>0</v>
      </c>
      <c r="J62" s="17">
        <v>0</v>
      </c>
      <c r="K62" s="17">
        <v>0</v>
      </c>
      <c r="L62" s="17">
        <v>0</v>
      </c>
      <c r="M62" s="17">
        <v>0</v>
      </c>
      <c r="N62" s="17">
        <v>0</v>
      </c>
      <c r="O62" s="17">
        <v>0</v>
      </c>
      <c r="P62" s="17">
        <v>0</v>
      </c>
      <c r="Q62" s="17">
        <v>0</v>
      </c>
      <c r="R62" s="17">
        <v>0</v>
      </c>
      <c r="S62" s="17">
        <v>200</v>
      </c>
      <c r="T62" s="17">
        <v>30</v>
      </c>
      <c r="U62" s="17">
        <v>0</v>
      </c>
      <c r="V62" s="17">
        <v>0</v>
      </c>
      <c r="W62" s="17">
        <v>0</v>
      </c>
      <c r="X62" s="17">
        <v>0</v>
      </c>
      <c r="Y62" s="17">
        <v>0</v>
      </c>
      <c r="Z62" s="17">
        <v>0</v>
      </c>
      <c r="AA62" s="17">
        <v>0</v>
      </c>
      <c r="AB62" s="17">
        <v>0</v>
      </c>
      <c r="AC62" s="17">
        <v>0</v>
      </c>
      <c r="AD62" s="17">
        <v>0</v>
      </c>
      <c r="AE62" s="17">
        <v>0</v>
      </c>
      <c r="AF62" s="17">
        <v>0</v>
      </c>
      <c r="AG62" s="17">
        <v>0</v>
      </c>
      <c r="AH62" s="17">
        <v>0</v>
      </c>
      <c r="AI62" s="17">
        <v>0</v>
      </c>
      <c r="AJ62" s="17">
        <v>0</v>
      </c>
      <c r="AK62" s="19">
        <f>SUM(WeeklyExpenditure[[#This Row],[FOOD, WATER AND DRINKS]:[MISCELLANEOUS (Soap, Washing Powder, Others)]])</f>
        <v>230</v>
      </c>
    </row>
    <row r="63" spans="1:37" s="15" customFormat="1" hidden="1" x14ac:dyDescent="0.25">
      <c r="A63" s="8">
        <f t="shared" si="0"/>
        <v>44632</v>
      </c>
      <c r="B63" s="17">
        <v>1322</v>
      </c>
      <c r="C63" s="17">
        <v>0</v>
      </c>
      <c r="D63" s="17">
        <v>0</v>
      </c>
      <c r="E63" s="17">
        <v>600</v>
      </c>
      <c r="F63" s="17">
        <v>0</v>
      </c>
      <c r="G63" s="17">
        <v>0</v>
      </c>
      <c r="H63" s="18">
        <v>0</v>
      </c>
      <c r="I63" s="18">
        <v>0</v>
      </c>
      <c r="J63" s="17">
        <v>0</v>
      </c>
      <c r="K63" s="17">
        <v>0</v>
      </c>
      <c r="L63" s="17">
        <v>0</v>
      </c>
      <c r="M63" s="17">
        <v>0</v>
      </c>
      <c r="N63" s="17">
        <v>0</v>
      </c>
      <c r="O63" s="17">
        <v>0</v>
      </c>
      <c r="P63" s="17">
        <v>0</v>
      </c>
      <c r="Q63" s="17">
        <v>0</v>
      </c>
      <c r="R63" s="17">
        <v>0</v>
      </c>
      <c r="S63" s="17">
        <v>500</v>
      </c>
      <c r="T63" s="17">
        <v>200</v>
      </c>
      <c r="U63" s="17">
        <v>0</v>
      </c>
      <c r="V63" s="17">
        <v>0</v>
      </c>
      <c r="W63" s="17">
        <v>0</v>
      </c>
      <c r="X63" s="17">
        <v>0</v>
      </c>
      <c r="Y63" s="17">
        <v>0</v>
      </c>
      <c r="Z63" s="17">
        <v>0</v>
      </c>
      <c r="AA63" s="17">
        <v>0</v>
      </c>
      <c r="AB63" s="17">
        <v>0</v>
      </c>
      <c r="AC63" s="17">
        <v>0</v>
      </c>
      <c r="AD63" s="17">
        <v>0</v>
      </c>
      <c r="AE63" s="17">
        <v>0</v>
      </c>
      <c r="AF63" s="17">
        <v>0</v>
      </c>
      <c r="AG63" s="17">
        <v>0</v>
      </c>
      <c r="AH63" s="17">
        <v>0</v>
      </c>
      <c r="AI63" s="17">
        <v>0</v>
      </c>
      <c r="AJ63" s="17">
        <v>0</v>
      </c>
      <c r="AK63" s="19">
        <f>SUM(WeeklyExpenditure[[#This Row],[FOOD, WATER AND DRINKS]:[MISCELLANEOUS (Soap, Washing Powder, Others)]])</f>
        <v>2622</v>
      </c>
    </row>
    <row r="64" spans="1:37" s="15" customFormat="1" hidden="1" x14ac:dyDescent="0.25">
      <c r="A64" s="8">
        <f t="shared" si="0"/>
        <v>44639</v>
      </c>
      <c r="B64" s="17">
        <v>15</v>
      </c>
      <c r="C64" s="17">
        <v>0</v>
      </c>
      <c r="D64" s="17">
        <v>0</v>
      </c>
      <c r="E64" s="17">
        <v>0</v>
      </c>
      <c r="F64" s="17">
        <v>0</v>
      </c>
      <c r="G64" s="17">
        <v>0</v>
      </c>
      <c r="H64" s="18">
        <v>0</v>
      </c>
      <c r="I64" s="18">
        <v>0</v>
      </c>
      <c r="J64" s="17">
        <v>0</v>
      </c>
      <c r="K64" s="17">
        <v>0</v>
      </c>
      <c r="L64" s="17">
        <v>0</v>
      </c>
      <c r="M64" s="17">
        <v>0</v>
      </c>
      <c r="N64" s="17">
        <v>400</v>
      </c>
      <c r="O64" s="17">
        <v>0</v>
      </c>
      <c r="P64" s="17">
        <v>0</v>
      </c>
      <c r="Q64" s="17">
        <v>0</v>
      </c>
      <c r="R64" s="17">
        <v>0</v>
      </c>
      <c r="S64" s="17">
        <v>0</v>
      </c>
      <c r="T64" s="17">
        <v>50</v>
      </c>
      <c r="U64" s="17">
        <v>0</v>
      </c>
      <c r="V64" s="17">
        <v>0</v>
      </c>
      <c r="W64" s="17">
        <v>0</v>
      </c>
      <c r="X64" s="17">
        <v>0</v>
      </c>
      <c r="Y64" s="17">
        <v>0</v>
      </c>
      <c r="Z64" s="17">
        <v>40</v>
      </c>
      <c r="AA64" s="17">
        <v>0</v>
      </c>
      <c r="AB64" s="17">
        <v>0</v>
      </c>
      <c r="AC64" s="17">
        <v>0</v>
      </c>
      <c r="AD64" s="17">
        <v>0</v>
      </c>
      <c r="AE64" s="17">
        <v>0</v>
      </c>
      <c r="AF64" s="17">
        <v>0</v>
      </c>
      <c r="AG64" s="17">
        <v>0</v>
      </c>
      <c r="AH64" s="17">
        <v>0</v>
      </c>
      <c r="AI64" s="17">
        <v>0</v>
      </c>
      <c r="AJ64" s="17">
        <v>0</v>
      </c>
      <c r="AK64" s="19">
        <f>SUM(WeeklyExpenditure[[#This Row],[FOOD, WATER AND DRINKS]:[MISCELLANEOUS (Soap, Washing Powder, Others)]])</f>
        <v>505</v>
      </c>
    </row>
    <row r="65" spans="1:37" s="15" customFormat="1" hidden="1" x14ac:dyDescent="0.25">
      <c r="A65" s="8">
        <f t="shared" si="0"/>
        <v>44646</v>
      </c>
      <c r="B65" s="17">
        <v>15</v>
      </c>
      <c r="C65" s="17">
        <v>0</v>
      </c>
      <c r="D65" s="17">
        <v>0</v>
      </c>
      <c r="E65" s="17">
        <v>52</v>
      </c>
      <c r="F65" s="17">
        <v>200</v>
      </c>
      <c r="G65" s="17">
        <v>0</v>
      </c>
      <c r="H65" s="18">
        <v>0</v>
      </c>
      <c r="I65" s="18">
        <v>0</v>
      </c>
      <c r="J65" s="17">
        <v>0</v>
      </c>
      <c r="K65" s="17">
        <v>0</v>
      </c>
      <c r="L65" s="17">
        <v>0</v>
      </c>
      <c r="M65" s="17">
        <v>0</v>
      </c>
      <c r="N65" s="17">
        <v>0</v>
      </c>
      <c r="O65" s="17">
        <v>0</v>
      </c>
      <c r="P65" s="17">
        <v>40</v>
      </c>
      <c r="Q65" s="17">
        <v>0</v>
      </c>
      <c r="R65" s="17">
        <v>0</v>
      </c>
      <c r="S65" s="17">
        <v>200</v>
      </c>
      <c r="T65" s="17">
        <v>0</v>
      </c>
      <c r="U65" s="17">
        <v>0</v>
      </c>
      <c r="V65" s="17">
        <v>0</v>
      </c>
      <c r="W65" s="17">
        <v>0</v>
      </c>
      <c r="X65" s="17">
        <v>0</v>
      </c>
      <c r="Y65" s="17">
        <v>0</v>
      </c>
      <c r="Z65" s="17">
        <v>0</v>
      </c>
      <c r="AA65" s="17">
        <v>0</v>
      </c>
      <c r="AB65" s="17">
        <v>0</v>
      </c>
      <c r="AC65" s="17">
        <v>0</v>
      </c>
      <c r="AD65" s="17">
        <v>0</v>
      </c>
      <c r="AE65" s="17">
        <v>0</v>
      </c>
      <c r="AF65" s="17">
        <v>0</v>
      </c>
      <c r="AG65" s="17">
        <v>0</v>
      </c>
      <c r="AH65" s="17">
        <v>0</v>
      </c>
      <c r="AI65" s="17">
        <v>0</v>
      </c>
      <c r="AJ65" s="17">
        <v>0</v>
      </c>
      <c r="AK65" s="19">
        <f>SUM(WeeklyExpenditure[[#This Row],[FOOD, WATER AND DRINKS]:[MISCELLANEOUS (Soap, Washing Powder, Others)]])</f>
        <v>507</v>
      </c>
    </row>
    <row r="66" spans="1:37" s="15" customFormat="1" hidden="1" x14ac:dyDescent="0.25">
      <c r="A66" s="8">
        <f t="shared" si="0"/>
        <v>44653</v>
      </c>
      <c r="B66" s="17">
        <v>93</v>
      </c>
      <c r="C66" s="17">
        <v>0</v>
      </c>
      <c r="D66" s="17">
        <v>0</v>
      </c>
      <c r="E66" s="17">
        <v>215</v>
      </c>
      <c r="F66" s="17">
        <v>120</v>
      </c>
      <c r="G66" s="17">
        <v>0</v>
      </c>
      <c r="H66" s="18">
        <v>0</v>
      </c>
      <c r="I66" s="18">
        <v>0</v>
      </c>
      <c r="J66" s="17">
        <v>0</v>
      </c>
      <c r="K66" s="17">
        <v>0</v>
      </c>
      <c r="L66" s="17">
        <v>0</v>
      </c>
      <c r="M66" s="17">
        <v>0</v>
      </c>
      <c r="N66" s="17">
        <v>0</v>
      </c>
      <c r="O66" s="17">
        <v>0</v>
      </c>
      <c r="P66" s="17">
        <v>0</v>
      </c>
      <c r="Q66" s="17">
        <v>0</v>
      </c>
      <c r="R66" s="17">
        <v>0</v>
      </c>
      <c r="S66" s="17">
        <v>1100</v>
      </c>
      <c r="T66" s="17">
        <v>0</v>
      </c>
      <c r="U66" s="17">
        <v>0</v>
      </c>
      <c r="V66" s="17">
        <v>0</v>
      </c>
      <c r="W66" s="17">
        <v>0</v>
      </c>
      <c r="X66" s="17">
        <v>0</v>
      </c>
      <c r="Y66" s="17">
        <v>0</v>
      </c>
      <c r="Z66" s="17">
        <v>0</v>
      </c>
      <c r="AA66" s="17">
        <v>0</v>
      </c>
      <c r="AB66" s="17">
        <v>0</v>
      </c>
      <c r="AC66" s="17">
        <v>0</v>
      </c>
      <c r="AD66" s="17">
        <v>0</v>
      </c>
      <c r="AE66" s="17">
        <v>0</v>
      </c>
      <c r="AF66" s="17">
        <v>0</v>
      </c>
      <c r="AG66" s="17">
        <v>0</v>
      </c>
      <c r="AH66" s="17">
        <v>0</v>
      </c>
      <c r="AI66" s="17">
        <v>0</v>
      </c>
      <c r="AJ66" s="17">
        <v>0</v>
      </c>
      <c r="AK66" s="19">
        <f>SUM(WeeklyExpenditure[[#This Row],[FOOD, WATER AND DRINKS]:[MISCELLANEOUS (Soap, Washing Powder, Others)]])</f>
        <v>1528</v>
      </c>
    </row>
    <row r="67" spans="1:37" s="15" customFormat="1" hidden="1" x14ac:dyDescent="0.25">
      <c r="A67" s="8">
        <f t="shared" si="0"/>
        <v>44660</v>
      </c>
      <c r="B67" s="17">
        <v>100</v>
      </c>
      <c r="C67" s="17">
        <v>0</v>
      </c>
      <c r="D67" s="17">
        <v>0</v>
      </c>
      <c r="E67" s="17">
        <v>70</v>
      </c>
      <c r="F67" s="17">
        <v>0</v>
      </c>
      <c r="G67" s="17">
        <v>0</v>
      </c>
      <c r="H67" s="18">
        <v>0</v>
      </c>
      <c r="I67" s="18">
        <v>0</v>
      </c>
      <c r="J67" s="17">
        <v>0</v>
      </c>
      <c r="K67" s="17">
        <v>0</v>
      </c>
      <c r="L67" s="17">
        <v>0</v>
      </c>
      <c r="M67" s="17">
        <v>0</v>
      </c>
      <c r="N67" s="17">
        <v>900</v>
      </c>
      <c r="O67" s="17">
        <v>0</v>
      </c>
      <c r="P67" s="17">
        <v>0</v>
      </c>
      <c r="Q67" s="17">
        <v>0</v>
      </c>
      <c r="R67" s="17">
        <v>300</v>
      </c>
      <c r="S67" s="17">
        <v>0</v>
      </c>
      <c r="T67" s="17">
        <v>0</v>
      </c>
      <c r="U67" s="17">
        <v>0</v>
      </c>
      <c r="V67" s="17">
        <v>120</v>
      </c>
      <c r="W67" s="17">
        <v>0</v>
      </c>
      <c r="X67" s="17">
        <v>0</v>
      </c>
      <c r="Y67" s="17">
        <v>0</v>
      </c>
      <c r="Z67" s="17">
        <v>200</v>
      </c>
      <c r="AA67" s="17">
        <v>0</v>
      </c>
      <c r="AB67" s="17">
        <v>0</v>
      </c>
      <c r="AC67" s="17">
        <v>0</v>
      </c>
      <c r="AD67" s="17">
        <v>0</v>
      </c>
      <c r="AE67" s="17">
        <v>0</v>
      </c>
      <c r="AF67" s="17">
        <v>0</v>
      </c>
      <c r="AG67" s="17">
        <v>0</v>
      </c>
      <c r="AH67" s="17">
        <v>0</v>
      </c>
      <c r="AI67" s="17">
        <v>0</v>
      </c>
      <c r="AJ67" s="17">
        <v>0</v>
      </c>
      <c r="AK67" s="19">
        <f>SUM(WeeklyExpenditure[[#This Row],[FOOD, WATER AND DRINKS]:[MISCELLANEOUS (Soap, Washing Powder, Others)]])</f>
        <v>1690</v>
      </c>
    </row>
    <row r="68" spans="1:37" s="15" customFormat="1" hidden="1" x14ac:dyDescent="0.25">
      <c r="A68" s="8">
        <f t="shared" ref="A68:A105" si="1">DATE(YEAR(A67),MONTH(A67),DAY(A67)+7)</f>
        <v>44667</v>
      </c>
      <c r="B68" s="17">
        <v>0</v>
      </c>
      <c r="C68" s="17">
        <v>0</v>
      </c>
      <c r="D68" s="17">
        <v>0</v>
      </c>
      <c r="E68" s="17">
        <v>0</v>
      </c>
      <c r="F68" s="17">
        <v>0</v>
      </c>
      <c r="G68" s="17">
        <v>0</v>
      </c>
      <c r="H68" s="18">
        <v>0</v>
      </c>
      <c r="I68" s="18">
        <v>0</v>
      </c>
      <c r="J68" s="17">
        <v>0</v>
      </c>
      <c r="K68" s="17">
        <v>0</v>
      </c>
      <c r="L68" s="17">
        <v>0</v>
      </c>
      <c r="M68" s="17">
        <v>0</v>
      </c>
      <c r="N68" s="17">
        <v>0</v>
      </c>
      <c r="O68" s="17">
        <v>0</v>
      </c>
      <c r="P68" s="17">
        <v>0</v>
      </c>
      <c r="Q68" s="17">
        <v>0</v>
      </c>
      <c r="R68" s="17">
        <v>0</v>
      </c>
      <c r="S68" s="17">
        <v>0</v>
      </c>
      <c r="T68" s="17">
        <v>0</v>
      </c>
      <c r="U68" s="17">
        <v>0</v>
      </c>
      <c r="V68" s="17">
        <v>0</v>
      </c>
      <c r="W68" s="17">
        <v>0</v>
      </c>
      <c r="X68" s="17">
        <v>0</v>
      </c>
      <c r="Y68" s="17">
        <v>0</v>
      </c>
      <c r="Z68" s="17">
        <v>0</v>
      </c>
      <c r="AA68" s="17">
        <v>0</v>
      </c>
      <c r="AB68" s="17">
        <v>0</v>
      </c>
      <c r="AC68" s="17">
        <v>0</v>
      </c>
      <c r="AD68" s="17">
        <v>0</v>
      </c>
      <c r="AE68" s="17">
        <v>0</v>
      </c>
      <c r="AF68" s="17">
        <v>0</v>
      </c>
      <c r="AG68" s="17">
        <v>0</v>
      </c>
      <c r="AH68" s="17">
        <v>0</v>
      </c>
      <c r="AI68" s="17">
        <v>0</v>
      </c>
      <c r="AJ68" s="17">
        <v>0</v>
      </c>
      <c r="AK68" s="19">
        <f>SUM(WeeklyExpenditure[[#This Row],[FOOD, WATER AND DRINKS]:[MISCELLANEOUS (Soap, Washing Powder, Others)]])</f>
        <v>0</v>
      </c>
    </row>
    <row r="69" spans="1:37" s="15" customFormat="1" hidden="1" x14ac:dyDescent="0.25">
      <c r="A69" s="8">
        <f t="shared" si="1"/>
        <v>44674</v>
      </c>
      <c r="B69" s="17">
        <v>0</v>
      </c>
      <c r="C69" s="17">
        <v>0</v>
      </c>
      <c r="D69" s="17">
        <v>0</v>
      </c>
      <c r="E69" s="17">
        <v>0</v>
      </c>
      <c r="F69" s="17">
        <v>0</v>
      </c>
      <c r="G69" s="17">
        <v>0</v>
      </c>
      <c r="H69" s="18">
        <v>0</v>
      </c>
      <c r="I69" s="18">
        <v>0</v>
      </c>
      <c r="J69" s="17">
        <v>0</v>
      </c>
      <c r="K69" s="17">
        <v>0</v>
      </c>
      <c r="L69" s="17">
        <v>0</v>
      </c>
      <c r="M69" s="17">
        <v>0</v>
      </c>
      <c r="N69" s="17">
        <v>0</v>
      </c>
      <c r="O69" s="17">
        <v>0</v>
      </c>
      <c r="P69" s="17">
        <v>0</v>
      </c>
      <c r="Q69" s="17">
        <v>0</v>
      </c>
      <c r="R69" s="17">
        <v>0</v>
      </c>
      <c r="S69" s="17">
        <v>0</v>
      </c>
      <c r="T69" s="17">
        <v>0</v>
      </c>
      <c r="U69" s="17">
        <v>0</v>
      </c>
      <c r="V69" s="17">
        <v>0</v>
      </c>
      <c r="W69" s="17">
        <v>0</v>
      </c>
      <c r="X69" s="17">
        <v>0</v>
      </c>
      <c r="Y69" s="17">
        <v>0</v>
      </c>
      <c r="Z69" s="17">
        <v>0</v>
      </c>
      <c r="AA69" s="17">
        <v>0</v>
      </c>
      <c r="AB69" s="17">
        <v>0</v>
      </c>
      <c r="AC69" s="17">
        <v>0</v>
      </c>
      <c r="AD69" s="17">
        <v>0</v>
      </c>
      <c r="AE69" s="17">
        <v>0</v>
      </c>
      <c r="AF69" s="17">
        <v>0</v>
      </c>
      <c r="AG69" s="17">
        <v>0</v>
      </c>
      <c r="AH69" s="17">
        <v>0</v>
      </c>
      <c r="AI69" s="17">
        <v>0</v>
      </c>
      <c r="AJ69" s="17">
        <v>0</v>
      </c>
      <c r="AK69" s="19">
        <f>SUM(WeeklyExpenditure[[#This Row],[FOOD, WATER AND DRINKS]:[MISCELLANEOUS (Soap, Washing Powder, Others)]])</f>
        <v>0</v>
      </c>
    </row>
    <row r="70" spans="1:37" s="15" customFormat="1" hidden="1" x14ac:dyDescent="0.25">
      <c r="A70" s="8">
        <f t="shared" si="1"/>
        <v>44681</v>
      </c>
      <c r="B70" s="17">
        <v>60</v>
      </c>
      <c r="C70" s="17">
        <v>0</v>
      </c>
      <c r="D70" s="17">
        <v>0</v>
      </c>
      <c r="E70" s="17">
        <v>150</v>
      </c>
      <c r="F70" s="17">
        <v>350</v>
      </c>
      <c r="G70" s="17">
        <v>0</v>
      </c>
      <c r="H70" s="18">
        <v>0</v>
      </c>
      <c r="I70" s="18">
        <v>0</v>
      </c>
      <c r="J70" s="17">
        <v>0</v>
      </c>
      <c r="K70" s="17">
        <v>0</v>
      </c>
      <c r="L70" s="17">
        <v>0</v>
      </c>
      <c r="M70" s="17">
        <v>0</v>
      </c>
      <c r="N70" s="17">
        <v>0</v>
      </c>
      <c r="O70" s="17">
        <v>30</v>
      </c>
      <c r="P70" s="17">
        <v>0</v>
      </c>
      <c r="Q70" s="17">
        <v>0</v>
      </c>
      <c r="R70" s="17">
        <v>0</v>
      </c>
      <c r="S70" s="17">
        <v>1345</v>
      </c>
      <c r="T70" s="17">
        <v>0</v>
      </c>
      <c r="U70" s="17">
        <v>0</v>
      </c>
      <c r="V70" s="17">
        <v>75</v>
      </c>
      <c r="W70" s="17">
        <v>0</v>
      </c>
      <c r="X70" s="17">
        <v>0</v>
      </c>
      <c r="Y70" s="17">
        <v>0</v>
      </c>
      <c r="Z70" s="17">
        <v>0</v>
      </c>
      <c r="AA70" s="17">
        <v>0</v>
      </c>
      <c r="AB70" s="17">
        <v>0</v>
      </c>
      <c r="AC70" s="17">
        <v>0</v>
      </c>
      <c r="AD70" s="17">
        <v>0</v>
      </c>
      <c r="AE70" s="17">
        <v>0</v>
      </c>
      <c r="AF70" s="17">
        <v>0</v>
      </c>
      <c r="AG70" s="17">
        <v>0</v>
      </c>
      <c r="AH70" s="17">
        <v>0</v>
      </c>
      <c r="AI70" s="17">
        <v>0</v>
      </c>
      <c r="AJ70" s="17">
        <v>70</v>
      </c>
      <c r="AK70" s="19">
        <f>SUM(WeeklyExpenditure[[#This Row],[FOOD, WATER AND DRINKS]:[MISCELLANEOUS (Soap, Washing Powder, Others)]])</f>
        <v>2080</v>
      </c>
    </row>
    <row r="71" spans="1:37" s="15" customFormat="1" hidden="1" x14ac:dyDescent="0.25">
      <c r="A71" s="8">
        <f t="shared" si="1"/>
        <v>44688</v>
      </c>
      <c r="B71" s="17">
        <v>53</v>
      </c>
      <c r="C71" s="17">
        <v>0</v>
      </c>
      <c r="D71" s="17">
        <v>0</v>
      </c>
      <c r="E71" s="17">
        <v>250</v>
      </c>
      <c r="F71" s="17">
        <v>170</v>
      </c>
      <c r="G71" s="17">
        <v>0</v>
      </c>
      <c r="H71" s="18">
        <v>0</v>
      </c>
      <c r="I71" s="18">
        <v>0</v>
      </c>
      <c r="J71" s="17">
        <v>0</v>
      </c>
      <c r="K71" s="17">
        <v>0</v>
      </c>
      <c r="L71" s="17">
        <v>0</v>
      </c>
      <c r="M71" s="17">
        <v>0</v>
      </c>
      <c r="N71" s="17">
        <v>0</v>
      </c>
      <c r="O71" s="17">
        <v>0</v>
      </c>
      <c r="P71" s="17">
        <v>0</v>
      </c>
      <c r="Q71" s="17">
        <v>101</v>
      </c>
      <c r="R71" s="17">
        <v>0</v>
      </c>
      <c r="S71" s="17">
        <v>200</v>
      </c>
      <c r="T71" s="17">
        <v>0</v>
      </c>
      <c r="U71" s="17">
        <v>0</v>
      </c>
      <c r="V71" s="17">
        <v>100</v>
      </c>
      <c r="W71" s="17">
        <v>0</v>
      </c>
      <c r="X71" s="17">
        <v>0</v>
      </c>
      <c r="Y71" s="17">
        <v>0</v>
      </c>
      <c r="Z71" s="17">
        <v>0</v>
      </c>
      <c r="AA71" s="17">
        <v>0</v>
      </c>
      <c r="AB71" s="17">
        <v>0</v>
      </c>
      <c r="AC71" s="17">
        <v>0</v>
      </c>
      <c r="AD71" s="17">
        <v>0</v>
      </c>
      <c r="AE71" s="17">
        <v>0</v>
      </c>
      <c r="AF71" s="17">
        <v>0</v>
      </c>
      <c r="AG71" s="17">
        <v>0</v>
      </c>
      <c r="AH71" s="17">
        <v>0</v>
      </c>
      <c r="AI71" s="17">
        <v>0</v>
      </c>
      <c r="AJ71" s="17">
        <v>0</v>
      </c>
      <c r="AK71" s="19">
        <f>SUM(WeeklyExpenditure[[#This Row],[FOOD, WATER AND DRINKS]:[MISCELLANEOUS (Soap, Washing Powder, Others)]])</f>
        <v>874</v>
      </c>
    </row>
    <row r="72" spans="1:37" s="15" customFormat="1" hidden="1" x14ac:dyDescent="0.25">
      <c r="A72" s="8">
        <f t="shared" si="1"/>
        <v>44695</v>
      </c>
      <c r="B72" s="17">
        <v>15</v>
      </c>
      <c r="C72" s="17">
        <v>0</v>
      </c>
      <c r="D72" s="17">
        <v>0</v>
      </c>
      <c r="E72" s="17">
        <v>60</v>
      </c>
      <c r="F72" s="17">
        <v>50</v>
      </c>
      <c r="G72" s="17">
        <v>0</v>
      </c>
      <c r="H72" s="18">
        <v>0</v>
      </c>
      <c r="I72" s="18">
        <v>0</v>
      </c>
      <c r="J72" s="17">
        <v>0</v>
      </c>
      <c r="K72" s="17">
        <v>0</v>
      </c>
      <c r="L72" s="17">
        <v>0</v>
      </c>
      <c r="M72" s="17">
        <v>0</v>
      </c>
      <c r="N72" s="17">
        <v>20</v>
      </c>
      <c r="O72" s="17">
        <v>0</v>
      </c>
      <c r="P72" s="17">
        <v>0</v>
      </c>
      <c r="Q72" s="17">
        <v>0</v>
      </c>
      <c r="R72" s="17">
        <v>0</v>
      </c>
      <c r="S72" s="17">
        <v>100</v>
      </c>
      <c r="T72" s="17">
        <v>0</v>
      </c>
      <c r="U72" s="17">
        <v>0</v>
      </c>
      <c r="V72" s="17">
        <v>0</v>
      </c>
      <c r="W72" s="17">
        <v>0</v>
      </c>
      <c r="X72" s="17">
        <v>0</v>
      </c>
      <c r="Y72" s="17">
        <v>0</v>
      </c>
      <c r="Z72" s="17">
        <v>0</v>
      </c>
      <c r="AA72" s="17">
        <v>0</v>
      </c>
      <c r="AB72" s="17">
        <v>0</v>
      </c>
      <c r="AC72" s="17">
        <v>0</v>
      </c>
      <c r="AD72" s="17">
        <v>0</v>
      </c>
      <c r="AE72" s="17">
        <v>0</v>
      </c>
      <c r="AF72" s="17">
        <v>0</v>
      </c>
      <c r="AG72" s="17">
        <v>0</v>
      </c>
      <c r="AH72" s="17">
        <v>0</v>
      </c>
      <c r="AI72" s="17">
        <v>0</v>
      </c>
      <c r="AJ72" s="17">
        <v>0</v>
      </c>
      <c r="AK72" s="19">
        <f>SUM(WeeklyExpenditure[[#This Row],[FOOD, WATER AND DRINKS]:[MISCELLANEOUS (Soap, Washing Powder, Others)]])</f>
        <v>245</v>
      </c>
    </row>
    <row r="73" spans="1:37" s="15" customFormat="1" hidden="1" x14ac:dyDescent="0.25">
      <c r="A73" s="8">
        <f t="shared" si="1"/>
        <v>44702</v>
      </c>
      <c r="B73" s="17">
        <v>0</v>
      </c>
      <c r="C73" s="17">
        <v>0</v>
      </c>
      <c r="D73" s="17">
        <v>0</v>
      </c>
      <c r="E73" s="17">
        <v>0</v>
      </c>
      <c r="F73" s="17">
        <v>0</v>
      </c>
      <c r="G73" s="17">
        <v>0</v>
      </c>
      <c r="H73" s="18">
        <v>0</v>
      </c>
      <c r="I73" s="18">
        <v>0</v>
      </c>
      <c r="J73" s="17">
        <v>0</v>
      </c>
      <c r="K73" s="17">
        <v>0</v>
      </c>
      <c r="L73" s="17">
        <v>0</v>
      </c>
      <c r="M73" s="17">
        <v>0</v>
      </c>
      <c r="N73" s="17">
        <v>0</v>
      </c>
      <c r="O73" s="17">
        <v>0</v>
      </c>
      <c r="P73" s="17">
        <v>0</v>
      </c>
      <c r="Q73" s="17">
        <v>100</v>
      </c>
      <c r="R73" s="17">
        <v>0</v>
      </c>
      <c r="S73" s="17">
        <v>0</v>
      </c>
      <c r="T73" s="17">
        <v>0</v>
      </c>
      <c r="U73" s="17">
        <v>0</v>
      </c>
      <c r="V73" s="17">
        <v>0</v>
      </c>
      <c r="W73" s="17">
        <v>0</v>
      </c>
      <c r="X73" s="17">
        <v>0</v>
      </c>
      <c r="Y73" s="17">
        <v>0</v>
      </c>
      <c r="Z73" s="17">
        <v>0</v>
      </c>
      <c r="AA73" s="17">
        <v>0</v>
      </c>
      <c r="AB73" s="17">
        <v>0</v>
      </c>
      <c r="AC73" s="17">
        <v>0</v>
      </c>
      <c r="AD73" s="17">
        <v>0</v>
      </c>
      <c r="AE73" s="17">
        <v>0</v>
      </c>
      <c r="AF73" s="17">
        <v>0</v>
      </c>
      <c r="AG73" s="17">
        <v>0</v>
      </c>
      <c r="AH73" s="17">
        <v>0</v>
      </c>
      <c r="AI73" s="17">
        <v>0</v>
      </c>
      <c r="AJ73" s="17">
        <v>0</v>
      </c>
      <c r="AK73" s="19">
        <f>SUM(WeeklyExpenditure[[#This Row],[FOOD, WATER AND DRINKS]:[MISCELLANEOUS (Soap, Washing Powder, Others)]])</f>
        <v>100</v>
      </c>
    </row>
    <row r="74" spans="1:37" s="15" customFormat="1" hidden="1" x14ac:dyDescent="0.25">
      <c r="A74" s="8">
        <f t="shared" si="1"/>
        <v>44709</v>
      </c>
      <c r="B74" s="17">
        <v>0</v>
      </c>
      <c r="C74" s="17">
        <v>0</v>
      </c>
      <c r="D74" s="17">
        <v>0</v>
      </c>
      <c r="E74" s="17">
        <v>0</v>
      </c>
      <c r="F74" s="17">
        <v>0</v>
      </c>
      <c r="G74" s="17">
        <v>0</v>
      </c>
      <c r="H74" s="18">
        <v>0</v>
      </c>
      <c r="I74" s="18">
        <v>0</v>
      </c>
      <c r="J74" s="17">
        <v>0</v>
      </c>
      <c r="K74" s="17">
        <v>0</v>
      </c>
      <c r="L74" s="17">
        <v>0</v>
      </c>
      <c r="M74" s="17">
        <v>0</v>
      </c>
      <c r="N74" s="17">
        <v>0</v>
      </c>
      <c r="O74" s="17">
        <v>0</v>
      </c>
      <c r="P74" s="17">
        <v>0</v>
      </c>
      <c r="Q74" s="17">
        <v>0</v>
      </c>
      <c r="R74" s="17">
        <v>0</v>
      </c>
      <c r="S74" s="17">
        <v>0</v>
      </c>
      <c r="T74" s="17">
        <v>0</v>
      </c>
      <c r="U74" s="17">
        <v>0</v>
      </c>
      <c r="V74" s="17">
        <v>0</v>
      </c>
      <c r="W74" s="17">
        <v>0</v>
      </c>
      <c r="X74" s="17">
        <v>0</v>
      </c>
      <c r="Y74" s="17">
        <v>0</v>
      </c>
      <c r="Z74" s="17">
        <v>0</v>
      </c>
      <c r="AA74" s="17">
        <v>0</v>
      </c>
      <c r="AB74" s="17">
        <v>0</v>
      </c>
      <c r="AC74" s="17">
        <v>0</v>
      </c>
      <c r="AD74" s="17">
        <v>0</v>
      </c>
      <c r="AE74" s="17">
        <v>0</v>
      </c>
      <c r="AF74" s="17">
        <v>0</v>
      </c>
      <c r="AG74" s="17">
        <v>0</v>
      </c>
      <c r="AH74" s="17">
        <v>0</v>
      </c>
      <c r="AI74" s="17">
        <v>0</v>
      </c>
      <c r="AJ74" s="17">
        <v>0</v>
      </c>
      <c r="AK74" s="19">
        <f>SUM(WeeklyExpenditure[[#This Row],[FOOD, WATER AND DRINKS]:[MISCELLANEOUS (Soap, Washing Powder, Others)]])</f>
        <v>0</v>
      </c>
    </row>
    <row r="75" spans="1:37" s="15" customFormat="1" hidden="1" x14ac:dyDescent="0.25">
      <c r="A75" s="8">
        <f t="shared" si="1"/>
        <v>44716</v>
      </c>
      <c r="B75" s="17">
        <v>33</v>
      </c>
      <c r="C75" s="17">
        <v>0</v>
      </c>
      <c r="D75" s="17">
        <v>0</v>
      </c>
      <c r="E75" s="17">
        <v>140</v>
      </c>
      <c r="F75" s="17">
        <v>0</v>
      </c>
      <c r="G75" s="17">
        <v>0</v>
      </c>
      <c r="H75" s="18">
        <v>0</v>
      </c>
      <c r="I75" s="18">
        <v>0</v>
      </c>
      <c r="J75" s="17">
        <v>0</v>
      </c>
      <c r="K75" s="17">
        <v>0</v>
      </c>
      <c r="L75" s="17">
        <v>0</v>
      </c>
      <c r="M75" s="17">
        <v>0</v>
      </c>
      <c r="N75" s="17">
        <v>0</v>
      </c>
      <c r="O75" s="17">
        <v>0</v>
      </c>
      <c r="P75" s="17">
        <v>0</v>
      </c>
      <c r="Q75" s="17">
        <v>0</v>
      </c>
      <c r="R75" s="17">
        <v>0</v>
      </c>
      <c r="S75" s="17">
        <v>0</v>
      </c>
      <c r="T75" s="17">
        <v>50</v>
      </c>
      <c r="U75" s="17">
        <v>0</v>
      </c>
      <c r="V75" s="17">
        <v>0</v>
      </c>
      <c r="W75" s="17">
        <v>0</v>
      </c>
      <c r="X75" s="17">
        <v>0</v>
      </c>
      <c r="Y75" s="17">
        <v>0</v>
      </c>
      <c r="Z75" s="17">
        <v>0</v>
      </c>
      <c r="AA75" s="17">
        <v>0</v>
      </c>
      <c r="AB75" s="17">
        <v>0</v>
      </c>
      <c r="AC75" s="17">
        <v>0</v>
      </c>
      <c r="AD75" s="17">
        <v>0</v>
      </c>
      <c r="AE75" s="17">
        <v>0</v>
      </c>
      <c r="AF75" s="17">
        <v>0</v>
      </c>
      <c r="AG75" s="17">
        <v>0</v>
      </c>
      <c r="AH75" s="17">
        <v>0</v>
      </c>
      <c r="AI75" s="17">
        <v>0</v>
      </c>
      <c r="AJ75" s="17">
        <v>580</v>
      </c>
      <c r="AK75" s="19">
        <f>SUM(WeeklyExpenditure[[#This Row],[FOOD, WATER AND DRINKS]:[MISCELLANEOUS (Soap, Washing Powder, Others)]])</f>
        <v>803</v>
      </c>
    </row>
    <row r="76" spans="1:37" s="15" customFormat="1" hidden="1" x14ac:dyDescent="0.25">
      <c r="A76" s="8">
        <f t="shared" si="1"/>
        <v>44723</v>
      </c>
      <c r="B76" s="17">
        <v>16</v>
      </c>
      <c r="C76" s="17">
        <v>0</v>
      </c>
      <c r="D76" s="17">
        <v>0</v>
      </c>
      <c r="E76" s="17">
        <v>120</v>
      </c>
      <c r="F76" s="17">
        <v>0</v>
      </c>
      <c r="G76" s="17">
        <v>0</v>
      </c>
      <c r="H76" s="18">
        <v>0</v>
      </c>
      <c r="I76" s="18">
        <v>0</v>
      </c>
      <c r="J76" s="17">
        <v>0</v>
      </c>
      <c r="K76" s="17">
        <v>0</v>
      </c>
      <c r="L76" s="17">
        <v>0</v>
      </c>
      <c r="M76" s="17">
        <v>0</v>
      </c>
      <c r="N76" s="17">
        <v>0</v>
      </c>
      <c r="O76" s="17">
        <v>0</v>
      </c>
      <c r="P76" s="17">
        <v>0</v>
      </c>
      <c r="Q76" s="17">
        <v>0</v>
      </c>
      <c r="R76" s="17">
        <v>0</v>
      </c>
      <c r="S76" s="17">
        <v>400</v>
      </c>
      <c r="T76" s="17">
        <v>60</v>
      </c>
      <c r="U76" s="17">
        <v>0</v>
      </c>
      <c r="V76" s="17">
        <v>0</v>
      </c>
      <c r="W76" s="17">
        <v>0</v>
      </c>
      <c r="X76" s="17">
        <v>0</v>
      </c>
      <c r="Y76" s="17">
        <v>0</v>
      </c>
      <c r="Z76" s="17">
        <v>123</v>
      </c>
      <c r="AA76" s="17">
        <v>0</v>
      </c>
      <c r="AB76" s="17">
        <v>0</v>
      </c>
      <c r="AC76" s="17">
        <v>0</v>
      </c>
      <c r="AD76" s="17">
        <v>0</v>
      </c>
      <c r="AE76" s="17">
        <v>0</v>
      </c>
      <c r="AF76" s="17">
        <v>0</v>
      </c>
      <c r="AG76" s="17">
        <v>0</v>
      </c>
      <c r="AH76" s="17">
        <v>0</v>
      </c>
      <c r="AI76" s="17">
        <v>0</v>
      </c>
      <c r="AJ76" s="17">
        <v>0</v>
      </c>
      <c r="AK76" s="19">
        <f>SUM(WeeklyExpenditure[[#This Row],[FOOD, WATER AND DRINKS]:[MISCELLANEOUS (Soap, Washing Powder, Others)]])</f>
        <v>719</v>
      </c>
    </row>
    <row r="77" spans="1:37" s="15" customFormat="1" hidden="1" x14ac:dyDescent="0.25">
      <c r="A77" s="8">
        <f t="shared" si="1"/>
        <v>44730</v>
      </c>
      <c r="B77" s="17">
        <v>0</v>
      </c>
      <c r="C77" s="17">
        <v>0</v>
      </c>
      <c r="D77" s="17">
        <v>0</v>
      </c>
      <c r="E77" s="17">
        <v>80</v>
      </c>
      <c r="F77" s="17">
        <v>100</v>
      </c>
      <c r="G77" s="17">
        <v>0</v>
      </c>
      <c r="H77" s="18">
        <v>0</v>
      </c>
      <c r="I77" s="18">
        <v>2256</v>
      </c>
      <c r="J77" s="17">
        <v>0</v>
      </c>
      <c r="K77" s="17">
        <v>0</v>
      </c>
      <c r="L77" s="17">
        <v>0</v>
      </c>
      <c r="M77" s="17">
        <v>0</v>
      </c>
      <c r="N77" s="17">
        <v>0</v>
      </c>
      <c r="O77" s="17">
        <v>0</v>
      </c>
      <c r="P77" s="17">
        <v>2000</v>
      </c>
      <c r="Q77" s="17">
        <v>0</v>
      </c>
      <c r="R77" s="17">
        <v>0</v>
      </c>
      <c r="S77" s="17">
        <v>0</v>
      </c>
      <c r="T77" s="17">
        <v>0</v>
      </c>
      <c r="U77" s="17">
        <v>0</v>
      </c>
      <c r="V77" s="17">
        <v>0</v>
      </c>
      <c r="W77" s="17">
        <v>0</v>
      </c>
      <c r="X77" s="17">
        <v>0</v>
      </c>
      <c r="Y77" s="17">
        <v>0</v>
      </c>
      <c r="Z77" s="17">
        <v>0</v>
      </c>
      <c r="AA77" s="17">
        <v>0</v>
      </c>
      <c r="AB77" s="17">
        <v>0</v>
      </c>
      <c r="AC77" s="17">
        <v>0</v>
      </c>
      <c r="AD77" s="17">
        <v>0</v>
      </c>
      <c r="AE77" s="17">
        <v>0</v>
      </c>
      <c r="AF77" s="17">
        <v>0</v>
      </c>
      <c r="AG77" s="17">
        <v>0</v>
      </c>
      <c r="AH77" s="17">
        <v>0</v>
      </c>
      <c r="AI77" s="17">
        <v>0</v>
      </c>
      <c r="AJ77" s="17">
        <v>51</v>
      </c>
      <c r="AK77" s="19">
        <f>SUM(WeeklyExpenditure[[#This Row],[FOOD, WATER AND DRINKS]:[MISCELLANEOUS (Soap, Washing Powder, Others)]])</f>
        <v>4487</v>
      </c>
    </row>
    <row r="78" spans="1:37" s="15" customFormat="1" hidden="1" x14ac:dyDescent="0.25">
      <c r="A78" s="8">
        <f t="shared" si="1"/>
        <v>44737</v>
      </c>
      <c r="B78" s="17">
        <v>0</v>
      </c>
      <c r="C78" s="17">
        <v>0</v>
      </c>
      <c r="D78" s="17">
        <v>0</v>
      </c>
      <c r="E78" s="17">
        <v>120</v>
      </c>
      <c r="F78" s="17">
        <v>0</v>
      </c>
      <c r="G78" s="17">
        <v>0</v>
      </c>
      <c r="H78" s="18">
        <v>0</v>
      </c>
      <c r="I78" s="18">
        <v>0</v>
      </c>
      <c r="J78" s="17">
        <v>0</v>
      </c>
      <c r="K78" s="17">
        <v>0</v>
      </c>
      <c r="L78" s="17">
        <v>0</v>
      </c>
      <c r="M78" s="17">
        <v>0</v>
      </c>
      <c r="N78" s="17">
        <v>0</v>
      </c>
      <c r="O78" s="17">
        <v>0</v>
      </c>
      <c r="P78" s="17">
        <v>0</v>
      </c>
      <c r="Q78" s="17">
        <v>0</v>
      </c>
      <c r="R78" s="17">
        <v>0</v>
      </c>
      <c r="S78" s="17">
        <v>0</v>
      </c>
      <c r="T78" s="17">
        <v>0</v>
      </c>
      <c r="U78" s="17">
        <v>0</v>
      </c>
      <c r="V78" s="17">
        <v>0</v>
      </c>
      <c r="W78" s="17">
        <v>0</v>
      </c>
      <c r="X78" s="17">
        <v>0</v>
      </c>
      <c r="Y78" s="17">
        <v>0</v>
      </c>
      <c r="Z78" s="17">
        <v>0</v>
      </c>
      <c r="AA78" s="17">
        <v>0</v>
      </c>
      <c r="AB78" s="17">
        <v>0</v>
      </c>
      <c r="AC78" s="17">
        <v>0</v>
      </c>
      <c r="AD78" s="17">
        <v>0</v>
      </c>
      <c r="AE78" s="17">
        <v>0</v>
      </c>
      <c r="AF78" s="17">
        <v>0</v>
      </c>
      <c r="AG78" s="17">
        <v>0</v>
      </c>
      <c r="AH78" s="17">
        <v>0</v>
      </c>
      <c r="AI78" s="17">
        <v>0</v>
      </c>
      <c r="AJ78" s="17">
        <v>0</v>
      </c>
      <c r="AK78" s="19">
        <f>SUM(WeeklyExpenditure[[#This Row],[FOOD, WATER AND DRINKS]:[MISCELLANEOUS (Soap, Washing Powder, Others)]])</f>
        <v>120</v>
      </c>
    </row>
    <row r="79" spans="1:37" s="15" customFormat="1" hidden="1" x14ac:dyDescent="0.25">
      <c r="A79" s="8">
        <f t="shared" si="1"/>
        <v>44744</v>
      </c>
      <c r="B79" s="17">
        <v>30</v>
      </c>
      <c r="C79" s="17">
        <v>0</v>
      </c>
      <c r="D79" s="17">
        <v>0</v>
      </c>
      <c r="E79" s="17">
        <v>0</v>
      </c>
      <c r="F79" s="17">
        <v>0</v>
      </c>
      <c r="G79" s="17">
        <v>0</v>
      </c>
      <c r="H79" s="18">
        <v>0</v>
      </c>
      <c r="I79" s="18">
        <v>0</v>
      </c>
      <c r="J79" s="17">
        <v>0</v>
      </c>
      <c r="K79" s="17">
        <v>0</v>
      </c>
      <c r="L79" s="17">
        <v>0</v>
      </c>
      <c r="M79" s="17">
        <v>0</v>
      </c>
      <c r="N79" s="17">
        <v>0</v>
      </c>
      <c r="O79" s="17">
        <v>100</v>
      </c>
      <c r="P79" s="17">
        <v>0</v>
      </c>
      <c r="Q79" s="17">
        <v>0</v>
      </c>
      <c r="R79" s="17">
        <v>0</v>
      </c>
      <c r="S79" s="17">
        <v>0</v>
      </c>
      <c r="T79" s="17">
        <v>0</v>
      </c>
      <c r="U79" s="17">
        <v>0</v>
      </c>
      <c r="V79" s="17">
        <v>0</v>
      </c>
      <c r="W79" s="17">
        <v>0</v>
      </c>
      <c r="X79" s="17">
        <v>0</v>
      </c>
      <c r="Y79" s="17">
        <v>0</v>
      </c>
      <c r="Z79" s="17">
        <v>0</v>
      </c>
      <c r="AA79" s="17">
        <v>0</v>
      </c>
      <c r="AB79" s="17">
        <v>0</v>
      </c>
      <c r="AC79" s="17">
        <v>0</v>
      </c>
      <c r="AD79" s="17">
        <v>0</v>
      </c>
      <c r="AE79" s="17">
        <v>0</v>
      </c>
      <c r="AF79" s="17">
        <v>0</v>
      </c>
      <c r="AG79" s="17">
        <v>0</v>
      </c>
      <c r="AH79" s="17">
        <v>0</v>
      </c>
      <c r="AI79" s="17">
        <v>0</v>
      </c>
      <c r="AJ79" s="17">
        <v>4</v>
      </c>
      <c r="AK79" s="19">
        <f>SUM(WeeklyExpenditure[[#This Row],[FOOD, WATER AND DRINKS]:[MISCELLANEOUS (Soap, Washing Powder, Others)]])</f>
        <v>134</v>
      </c>
    </row>
    <row r="80" spans="1:37" s="15" customFormat="1" hidden="1" x14ac:dyDescent="0.25">
      <c r="A80" s="8">
        <f t="shared" si="1"/>
        <v>44751</v>
      </c>
      <c r="B80" s="17">
        <v>0</v>
      </c>
      <c r="C80" s="17">
        <v>0</v>
      </c>
      <c r="D80" s="17">
        <v>0</v>
      </c>
      <c r="E80" s="17">
        <v>80</v>
      </c>
      <c r="F80" s="17">
        <v>0</v>
      </c>
      <c r="G80" s="17">
        <v>0</v>
      </c>
      <c r="H80" s="18">
        <v>0</v>
      </c>
      <c r="I80" s="18">
        <v>0</v>
      </c>
      <c r="J80" s="17">
        <v>0</v>
      </c>
      <c r="K80" s="17">
        <v>0</v>
      </c>
      <c r="L80" s="17">
        <v>0</v>
      </c>
      <c r="M80" s="17">
        <v>0</v>
      </c>
      <c r="N80" s="17">
        <v>30</v>
      </c>
      <c r="O80" s="17">
        <v>0</v>
      </c>
      <c r="P80" s="17">
        <v>0</v>
      </c>
      <c r="Q80" s="17">
        <v>0</v>
      </c>
      <c r="R80" s="17">
        <v>0</v>
      </c>
      <c r="S80" s="17">
        <v>0</v>
      </c>
      <c r="T80" s="17">
        <v>470</v>
      </c>
      <c r="U80" s="17">
        <v>0</v>
      </c>
      <c r="V80" s="17">
        <v>0</v>
      </c>
      <c r="W80" s="17">
        <v>0</v>
      </c>
      <c r="X80" s="17">
        <v>0</v>
      </c>
      <c r="Y80" s="17">
        <v>0</v>
      </c>
      <c r="Z80" s="17">
        <v>0</v>
      </c>
      <c r="AA80" s="17">
        <v>0</v>
      </c>
      <c r="AB80" s="17">
        <v>0</v>
      </c>
      <c r="AC80" s="17">
        <v>0</v>
      </c>
      <c r="AD80" s="17">
        <v>0</v>
      </c>
      <c r="AE80" s="17">
        <v>0</v>
      </c>
      <c r="AF80" s="17">
        <v>0</v>
      </c>
      <c r="AG80" s="17">
        <v>0</v>
      </c>
      <c r="AH80" s="17">
        <v>0</v>
      </c>
      <c r="AI80" s="17">
        <v>0</v>
      </c>
      <c r="AJ80" s="17">
        <v>145</v>
      </c>
      <c r="AK80" s="19">
        <f>SUM(WeeklyExpenditure[[#This Row],[FOOD, WATER AND DRINKS]:[MISCELLANEOUS (Soap, Washing Powder, Others)]])</f>
        <v>725</v>
      </c>
    </row>
    <row r="81" spans="1:37" s="15" customFormat="1" hidden="1" x14ac:dyDescent="0.25">
      <c r="A81" s="8">
        <f t="shared" si="1"/>
        <v>44758</v>
      </c>
      <c r="B81" s="17">
        <v>0</v>
      </c>
      <c r="C81" s="17">
        <v>0</v>
      </c>
      <c r="D81" s="17">
        <v>0</v>
      </c>
      <c r="E81" s="17">
        <v>40</v>
      </c>
      <c r="F81" s="17">
        <v>100</v>
      </c>
      <c r="G81" s="17">
        <v>0</v>
      </c>
      <c r="H81" s="18">
        <v>0</v>
      </c>
      <c r="I81" s="18">
        <v>0</v>
      </c>
      <c r="J81" s="17">
        <v>0</v>
      </c>
      <c r="K81" s="17">
        <v>0</v>
      </c>
      <c r="L81" s="17">
        <v>0</v>
      </c>
      <c r="M81" s="17">
        <v>0</v>
      </c>
      <c r="N81" s="17">
        <v>0</v>
      </c>
      <c r="O81" s="17">
        <v>0</v>
      </c>
      <c r="P81" s="17">
        <v>0</v>
      </c>
      <c r="Q81" s="17">
        <v>0</v>
      </c>
      <c r="R81" s="17">
        <v>0</v>
      </c>
      <c r="S81" s="17">
        <v>0</v>
      </c>
      <c r="T81" s="17">
        <v>70</v>
      </c>
      <c r="U81" s="17">
        <v>0</v>
      </c>
      <c r="V81" s="17">
        <v>0</v>
      </c>
      <c r="W81" s="17">
        <v>0</v>
      </c>
      <c r="X81" s="17">
        <v>0</v>
      </c>
      <c r="Y81" s="17">
        <v>0</v>
      </c>
      <c r="Z81" s="17">
        <v>0</v>
      </c>
      <c r="AA81" s="17">
        <v>0</v>
      </c>
      <c r="AB81" s="17">
        <v>0</v>
      </c>
      <c r="AC81" s="17">
        <v>0</v>
      </c>
      <c r="AD81" s="17">
        <v>0</v>
      </c>
      <c r="AE81" s="17">
        <v>0</v>
      </c>
      <c r="AF81" s="17">
        <v>0</v>
      </c>
      <c r="AG81" s="17">
        <v>0</v>
      </c>
      <c r="AH81" s="17">
        <v>0</v>
      </c>
      <c r="AI81" s="17">
        <v>0</v>
      </c>
      <c r="AJ81" s="17">
        <v>0</v>
      </c>
      <c r="AK81" s="19">
        <f>SUM(WeeklyExpenditure[[#This Row],[FOOD, WATER AND DRINKS]:[MISCELLANEOUS (Soap, Washing Powder, Others)]])</f>
        <v>210</v>
      </c>
    </row>
    <row r="82" spans="1:37" s="15" customFormat="1" hidden="1" x14ac:dyDescent="0.25">
      <c r="A82" s="8">
        <f t="shared" si="1"/>
        <v>44765</v>
      </c>
      <c r="B82" s="17">
        <v>0</v>
      </c>
      <c r="C82" s="17">
        <v>0</v>
      </c>
      <c r="D82" s="17">
        <v>0</v>
      </c>
      <c r="E82" s="17">
        <v>40</v>
      </c>
      <c r="F82" s="17">
        <v>0</v>
      </c>
      <c r="G82" s="17">
        <v>0</v>
      </c>
      <c r="H82" s="18">
        <v>0</v>
      </c>
      <c r="I82" s="18">
        <v>0</v>
      </c>
      <c r="J82" s="17">
        <v>0</v>
      </c>
      <c r="K82" s="17">
        <v>0</v>
      </c>
      <c r="L82" s="17">
        <v>0</v>
      </c>
      <c r="M82" s="17">
        <v>0</v>
      </c>
      <c r="N82" s="17">
        <v>20</v>
      </c>
      <c r="O82" s="17">
        <v>0</v>
      </c>
      <c r="P82" s="17">
        <v>0</v>
      </c>
      <c r="Q82" s="17">
        <v>0</v>
      </c>
      <c r="R82" s="17">
        <v>0</v>
      </c>
      <c r="S82" s="17">
        <v>400</v>
      </c>
      <c r="T82" s="17">
        <v>0</v>
      </c>
      <c r="U82" s="17">
        <v>0</v>
      </c>
      <c r="V82" s="17">
        <v>0</v>
      </c>
      <c r="W82" s="17">
        <v>0</v>
      </c>
      <c r="X82" s="17">
        <v>0</v>
      </c>
      <c r="Y82" s="17">
        <v>0</v>
      </c>
      <c r="Z82" s="17">
        <v>0</v>
      </c>
      <c r="AA82" s="17">
        <v>0</v>
      </c>
      <c r="AB82" s="17">
        <v>0</v>
      </c>
      <c r="AC82" s="17">
        <v>0</v>
      </c>
      <c r="AD82" s="17">
        <v>0</v>
      </c>
      <c r="AE82" s="17">
        <v>0</v>
      </c>
      <c r="AF82" s="17">
        <v>0</v>
      </c>
      <c r="AG82" s="17">
        <v>0</v>
      </c>
      <c r="AH82" s="17">
        <v>0</v>
      </c>
      <c r="AI82" s="17">
        <v>0</v>
      </c>
      <c r="AJ82" s="17">
        <v>60</v>
      </c>
      <c r="AK82" s="19">
        <f>SUM(WeeklyExpenditure[[#This Row],[FOOD, WATER AND DRINKS]:[MISCELLANEOUS (Soap, Washing Powder, Others)]])</f>
        <v>520</v>
      </c>
    </row>
    <row r="83" spans="1:37" s="15" customFormat="1" hidden="1" x14ac:dyDescent="0.25">
      <c r="A83" s="8">
        <f t="shared" si="1"/>
        <v>44772</v>
      </c>
      <c r="B83" s="17">
        <v>30</v>
      </c>
      <c r="C83" s="17">
        <v>0</v>
      </c>
      <c r="D83" s="17">
        <v>0</v>
      </c>
      <c r="E83" s="17">
        <v>40</v>
      </c>
      <c r="F83" s="17">
        <v>20</v>
      </c>
      <c r="G83" s="17">
        <v>0</v>
      </c>
      <c r="H83" s="18">
        <v>0</v>
      </c>
      <c r="I83" s="18">
        <v>0</v>
      </c>
      <c r="J83" s="17">
        <v>0</v>
      </c>
      <c r="K83" s="17">
        <v>0</v>
      </c>
      <c r="L83" s="17">
        <v>0</v>
      </c>
      <c r="M83" s="17">
        <v>0</v>
      </c>
      <c r="N83" s="17">
        <v>0</v>
      </c>
      <c r="O83" s="17">
        <v>0</v>
      </c>
      <c r="P83" s="17">
        <v>0</v>
      </c>
      <c r="Q83" s="17">
        <v>0</v>
      </c>
      <c r="R83" s="17">
        <v>0</v>
      </c>
      <c r="S83" s="17">
        <v>0</v>
      </c>
      <c r="T83" s="17">
        <v>270</v>
      </c>
      <c r="U83" s="17">
        <v>0</v>
      </c>
      <c r="V83" s="17">
        <v>0</v>
      </c>
      <c r="W83" s="17">
        <v>0</v>
      </c>
      <c r="X83" s="17">
        <v>0</v>
      </c>
      <c r="Y83" s="17">
        <v>0</v>
      </c>
      <c r="Z83" s="17">
        <v>0</v>
      </c>
      <c r="AA83" s="17">
        <v>0</v>
      </c>
      <c r="AB83" s="17">
        <v>0</v>
      </c>
      <c r="AC83" s="17">
        <v>0</v>
      </c>
      <c r="AD83" s="17">
        <v>0</v>
      </c>
      <c r="AE83" s="17">
        <v>0</v>
      </c>
      <c r="AF83" s="17">
        <v>0</v>
      </c>
      <c r="AG83" s="17">
        <v>0</v>
      </c>
      <c r="AH83" s="17">
        <v>0</v>
      </c>
      <c r="AI83" s="17">
        <v>0</v>
      </c>
      <c r="AJ83" s="17">
        <v>0</v>
      </c>
      <c r="AK83" s="19">
        <f>SUM(WeeklyExpenditure[[#This Row],[FOOD, WATER AND DRINKS]:[MISCELLANEOUS (Soap, Washing Powder, Others)]])</f>
        <v>360</v>
      </c>
    </row>
    <row r="84" spans="1:37" s="15" customFormat="1" hidden="1" x14ac:dyDescent="0.25">
      <c r="A84" s="8">
        <f t="shared" si="1"/>
        <v>44779</v>
      </c>
      <c r="B84" s="17">
        <v>0</v>
      </c>
      <c r="C84" s="17">
        <v>0</v>
      </c>
      <c r="D84" s="17">
        <v>0</v>
      </c>
      <c r="E84" s="17">
        <v>100</v>
      </c>
      <c r="F84" s="17">
        <v>0</v>
      </c>
      <c r="G84" s="17">
        <v>0</v>
      </c>
      <c r="H84" s="18">
        <v>0</v>
      </c>
      <c r="I84" s="18">
        <v>0</v>
      </c>
      <c r="J84" s="17">
        <v>0</v>
      </c>
      <c r="K84" s="17">
        <v>0</v>
      </c>
      <c r="L84" s="17">
        <v>0</v>
      </c>
      <c r="M84" s="17">
        <v>0</v>
      </c>
      <c r="N84" s="17">
        <v>0</v>
      </c>
      <c r="O84" s="17">
        <v>0</v>
      </c>
      <c r="P84" s="17">
        <v>0</v>
      </c>
      <c r="Q84" s="17">
        <v>0</v>
      </c>
      <c r="R84" s="17">
        <v>0</v>
      </c>
      <c r="S84" s="17">
        <v>0</v>
      </c>
      <c r="T84" s="17">
        <v>60</v>
      </c>
      <c r="U84" s="17">
        <v>0</v>
      </c>
      <c r="V84" s="17">
        <v>0</v>
      </c>
      <c r="W84" s="17">
        <v>0</v>
      </c>
      <c r="X84" s="17">
        <v>0</v>
      </c>
      <c r="Y84" s="17">
        <v>0</v>
      </c>
      <c r="Z84" s="17">
        <v>0</v>
      </c>
      <c r="AA84" s="17">
        <v>0</v>
      </c>
      <c r="AB84" s="17">
        <v>0</v>
      </c>
      <c r="AC84" s="17">
        <v>0</v>
      </c>
      <c r="AD84" s="17">
        <v>0</v>
      </c>
      <c r="AE84" s="17">
        <v>0</v>
      </c>
      <c r="AF84" s="17">
        <v>0</v>
      </c>
      <c r="AG84" s="17">
        <v>0</v>
      </c>
      <c r="AH84" s="17">
        <v>0</v>
      </c>
      <c r="AI84" s="17">
        <v>0</v>
      </c>
      <c r="AJ84" s="17">
        <v>0</v>
      </c>
      <c r="AK84" s="19">
        <f>SUM(WeeklyExpenditure[[#This Row],[FOOD, WATER AND DRINKS]:[MISCELLANEOUS (Soap, Washing Powder, Others)]])</f>
        <v>160</v>
      </c>
    </row>
    <row r="85" spans="1:37" s="15" customFormat="1" hidden="1" x14ac:dyDescent="0.25">
      <c r="A85" s="8">
        <f t="shared" si="1"/>
        <v>44786</v>
      </c>
      <c r="B85" s="17">
        <v>45</v>
      </c>
      <c r="C85" s="17">
        <v>0</v>
      </c>
      <c r="D85" s="17">
        <v>0</v>
      </c>
      <c r="E85" s="17">
        <v>40</v>
      </c>
      <c r="F85" s="17">
        <v>0</v>
      </c>
      <c r="G85" s="17">
        <v>0</v>
      </c>
      <c r="H85" s="18">
        <v>0</v>
      </c>
      <c r="I85" s="18">
        <v>0</v>
      </c>
      <c r="J85" s="17">
        <v>0</v>
      </c>
      <c r="K85" s="17">
        <v>0</v>
      </c>
      <c r="L85" s="17">
        <v>0</v>
      </c>
      <c r="M85" s="17">
        <v>0</v>
      </c>
      <c r="N85" s="17">
        <v>0</v>
      </c>
      <c r="O85" s="17">
        <v>0</v>
      </c>
      <c r="P85" s="17">
        <v>0</v>
      </c>
      <c r="Q85" s="17">
        <v>0</v>
      </c>
      <c r="R85" s="17">
        <v>0</v>
      </c>
      <c r="S85" s="17">
        <v>0</v>
      </c>
      <c r="T85" s="17">
        <v>170</v>
      </c>
      <c r="U85" s="17">
        <v>0</v>
      </c>
      <c r="V85" s="17">
        <v>0</v>
      </c>
      <c r="W85" s="17">
        <v>0</v>
      </c>
      <c r="X85" s="17">
        <v>0</v>
      </c>
      <c r="Y85" s="17">
        <v>0</v>
      </c>
      <c r="Z85" s="17">
        <v>0</v>
      </c>
      <c r="AA85" s="17">
        <v>0</v>
      </c>
      <c r="AB85" s="17">
        <v>0</v>
      </c>
      <c r="AC85" s="17">
        <v>0</v>
      </c>
      <c r="AD85" s="17">
        <v>0</v>
      </c>
      <c r="AE85" s="17">
        <v>0</v>
      </c>
      <c r="AF85" s="17">
        <v>0</v>
      </c>
      <c r="AG85" s="17">
        <v>0</v>
      </c>
      <c r="AH85" s="17">
        <v>0</v>
      </c>
      <c r="AI85" s="17">
        <v>0</v>
      </c>
      <c r="AJ85" s="17">
        <v>0</v>
      </c>
      <c r="AK85" s="19">
        <f>SUM(WeeklyExpenditure[[#This Row],[FOOD, WATER AND DRINKS]:[MISCELLANEOUS (Soap, Washing Powder, Others)]])</f>
        <v>255</v>
      </c>
    </row>
    <row r="86" spans="1:37" s="15" customFormat="1" hidden="1" x14ac:dyDescent="0.25">
      <c r="A86" s="8">
        <f t="shared" si="1"/>
        <v>44793</v>
      </c>
      <c r="B86" s="17">
        <v>0</v>
      </c>
      <c r="C86" s="17">
        <v>0</v>
      </c>
      <c r="D86" s="17">
        <v>0</v>
      </c>
      <c r="E86" s="17">
        <v>40</v>
      </c>
      <c r="F86" s="17">
        <v>0</v>
      </c>
      <c r="G86" s="17">
        <v>0</v>
      </c>
      <c r="H86" s="18">
        <v>0</v>
      </c>
      <c r="I86" s="18">
        <v>0</v>
      </c>
      <c r="J86" s="17">
        <v>0</v>
      </c>
      <c r="K86" s="17">
        <v>0</v>
      </c>
      <c r="L86" s="17">
        <v>0</v>
      </c>
      <c r="M86" s="17">
        <v>0</v>
      </c>
      <c r="N86" s="17">
        <v>0</v>
      </c>
      <c r="O86" s="17">
        <v>0</v>
      </c>
      <c r="P86" s="17">
        <v>0</v>
      </c>
      <c r="Q86" s="17">
        <v>0</v>
      </c>
      <c r="R86" s="17">
        <v>0</v>
      </c>
      <c r="S86" s="17">
        <v>0</v>
      </c>
      <c r="T86" s="17">
        <v>50</v>
      </c>
      <c r="U86" s="17">
        <v>0</v>
      </c>
      <c r="V86" s="17">
        <v>0</v>
      </c>
      <c r="W86" s="17">
        <v>0</v>
      </c>
      <c r="X86" s="17">
        <v>0</v>
      </c>
      <c r="Y86" s="17">
        <v>0</v>
      </c>
      <c r="Z86" s="17">
        <v>0</v>
      </c>
      <c r="AA86" s="17">
        <v>0</v>
      </c>
      <c r="AB86" s="17">
        <v>0</v>
      </c>
      <c r="AC86" s="17">
        <v>0</v>
      </c>
      <c r="AD86" s="17">
        <v>0</v>
      </c>
      <c r="AE86" s="17">
        <v>0</v>
      </c>
      <c r="AF86" s="17">
        <v>0</v>
      </c>
      <c r="AG86" s="17">
        <v>0</v>
      </c>
      <c r="AH86" s="17">
        <v>0</v>
      </c>
      <c r="AI86" s="17">
        <v>0</v>
      </c>
      <c r="AJ86" s="17">
        <v>0</v>
      </c>
      <c r="AK86" s="19">
        <f>SUM(WeeklyExpenditure[[#This Row],[FOOD, WATER AND DRINKS]:[MISCELLANEOUS (Soap, Washing Powder, Others)]])</f>
        <v>90</v>
      </c>
    </row>
    <row r="87" spans="1:37" s="15" customFormat="1" hidden="1" x14ac:dyDescent="0.25">
      <c r="A87" s="8">
        <f t="shared" si="1"/>
        <v>44800</v>
      </c>
      <c r="B87" s="17">
        <v>0</v>
      </c>
      <c r="C87" s="17">
        <v>0</v>
      </c>
      <c r="D87" s="17">
        <v>0</v>
      </c>
      <c r="E87" s="17">
        <v>50</v>
      </c>
      <c r="F87" s="17">
        <v>0</v>
      </c>
      <c r="G87" s="17">
        <v>0</v>
      </c>
      <c r="H87" s="18">
        <v>0</v>
      </c>
      <c r="I87" s="18">
        <v>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90</v>
      </c>
      <c r="AA87" s="17">
        <v>0</v>
      </c>
      <c r="AB87" s="17">
        <v>2000</v>
      </c>
      <c r="AC87" s="17">
        <v>0</v>
      </c>
      <c r="AD87" s="17">
        <v>0</v>
      </c>
      <c r="AE87" s="17">
        <v>0</v>
      </c>
      <c r="AF87" s="17">
        <v>0</v>
      </c>
      <c r="AG87" s="17">
        <v>0</v>
      </c>
      <c r="AH87" s="17">
        <v>0</v>
      </c>
      <c r="AI87" s="17">
        <v>0</v>
      </c>
      <c r="AJ87" s="17">
        <v>25</v>
      </c>
      <c r="AK87" s="19">
        <f>SUM(WeeklyExpenditure[[#This Row],[FOOD, WATER AND DRINKS]:[MISCELLANEOUS (Soap, Washing Powder, Others)]])</f>
        <v>2165</v>
      </c>
    </row>
    <row r="88" spans="1:37" s="15" customFormat="1" hidden="1" x14ac:dyDescent="0.25">
      <c r="A88" s="8">
        <f t="shared" si="1"/>
        <v>44807</v>
      </c>
      <c r="B88" s="17">
        <v>0</v>
      </c>
      <c r="C88" s="17">
        <v>0</v>
      </c>
      <c r="D88" s="17">
        <v>0</v>
      </c>
      <c r="E88" s="17">
        <v>0</v>
      </c>
      <c r="F88" s="17">
        <v>0</v>
      </c>
      <c r="G88" s="17">
        <v>0</v>
      </c>
      <c r="H88" s="18">
        <v>0</v>
      </c>
      <c r="I88" s="18">
        <v>0</v>
      </c>
      <c r="J88" s="17">
        <v>0</v>
      </c>
      <c r="K88" s="17">
        <v>0</v>
      </c>
      <c r="L88" s="17">
        <v>0</v>
      </c>
      <c r="M88" s="17">
        <v>0</v>
      </c>
      <c r="N88" s="17">
        <v>0</v>
      </c>
      <c r="O88" s="17">
        <v>0</v>
      </c>
      <c r="P88" s="17">
        <v>0</v>
      </c>
      <c r="Q88" s="17">
        <v>0</v>
      </c>
      <c r="R88" s="17">
        <v>0</v>
      </c>
      <c r="S88" s="17">
        <v>0</v>
      </c>
      <c r="T88" s="17">
        <v>0</v>
      </c>
      <c r="U88" s="17">
        <v>0</v>
      </c>
      <c r="V88" s="17">
        <v>0</v>
      </c>
      <c r="W88" s="17">
        <v>0</v>
      </c>
      <c r="X88" s="17">
        <v>0</v>
      </c>
      <c r="Y88" s="17">
        <v>0</v>
      </c>
      <c r="Z88" s="17">
        <v>0</v>
      </c>
      <c r="AA88" s="17">
        <v>0</v>
      </c>
      <c r="AB88" s="17">
        <v>0</v>
      </c>
      <c r="AC88" s="17">
        <v>0</v>
      </c>
      <c r="AD88" s="17">
        <v>0</v>
      </c>
      <c r="AE88" s="17">
        <v>0</v>
      </c>
      <c r="AF88" s="17">
        <v>0</v>
      </c>
      <c r="AG88" s="17">
        <v>0</v>
      </c>
      <c r="AH88" s="17">
        <v>0</v>
      </c>
      <c r="AI88" s="17">
        <v>0</v>
      </c>
      <c r="AJ88" s="17">
        <v>0</v>
      </c>
      <c r="AK88" s="19">
        <f>SUM(WeeklyExpenditure[[#This Row],[FOOD, WATER AND DRINKS]:[MISCELLANEOUS (Soap, Washing Powder, Others)]])</f>
        <v>0</v>
      </c>
    </row>
    <row r="89" spans="1:37" s="15" customFormat="1" hidden="1" x14ac:dyDescent="0.25">
      <c r="A89" s="8">
        <f t="shared" si="1"/>
        <v>44814</v>
      </c>
      <c r="B89" s="17">
        <v>0</v>
      </c>
      <c r="C89" s="17">
        <v>0</v>
      </c>
      <c r="D89" s="17">
        <v>0</v>
      </c>
      <c r="E89" s="17">
        <v>0</v>
      </c>
      <c r="F89" s="17">
        <v>0</v>
      </c>
      <c r="G89" s="17">
        <v>0</v>
      </c>
      <c r="H89" s="18">
        <v>0</v>
      </c>
      <c r="I89" s="18">
        <v>0</v>
      </c>
      <c r="J89" s="17">
        <v>0</v>
      </c>
      <c r="K89" s="17">
        <v>0</v>
      </c>
      <c r="L89" s="17">
        <v>0</v>
      </c>
      <c r="M89" s="17">
        <v>0</v>
      </c>
      <c r="N89" s="17">
        <v>0</v>
      </c>
      <c r="O89" s="17">
        <v>0</v>
      </c>
      <c r="P89" s="17">
        <v>0</v>
      </c>
      <c r="Q89" s="17">
        <v>0</v>
      </c>
      <c r="R89" s="17">
        <v>0</v>
      </c>
      <c r="S89" s="17">
        <v>0</v>
      </c>
      <c r="T89" s="17">
        <v>0</v>
      </c>
      <c r="U89" s="17">
        <v>0</v>
      </c>
      <c r="V89" s="17">
        <v>0</v>
      </c>
      <c r="W89" s="17">
        <v>0</v>
      </c>
      <c r="X89" s="17">
        <v>0</v>
      </c>
      <c r="Y89" s="17">
        <v>0</v>
      </c>
      <c r="Z89" s="17">
        <v>0</v>
      </c>
      <c r="AA89" s="17">
        <v>0</v>
      </c>
      <c r="AB89" s="17">
        <v>0</v>
      </c>
      <c r="AC89" s="17">
        <v>0</v>
      </c>
      <c r="AD89" s="17">
        <v>0</v>
      </c>
      <c r="AE89" s="17">
        <v>0</v>
      </c>
      <c r="AF89" s="17">
        <v>0</v>
      </c>
      <c r="AG89" s="17">
        <v>0</v>
      </c>
      <c r="AH89" s="17">
        <v>0</v>
      </c>
      <c r="AI89" s="17">
        <v>0</v>
      </c>
      <c r="AJ89" s="17">
        <v>0</v>
      </c>
      <c r="AK89" s="19">
        <f>SUM(WeeklyExpenditure[[#This Row],[FOOD, WATER AND DRINKS]:[MISCELLANEOUS (Soap, Washing Powder, Others)]])</f>
        <v>0</v>
      </c>
    </row>
    <row r="90" spans="1:37" s="15" customFormat="1" hidden="1" x14ac:dyDescent="0.25">
      <c r="A90" s="8">
        <f t="shared" si="1"/>
        <v>44821</v>
      </c>
      <c r="B90" s="17">
        <v>270</v>
      </c>
      <c r="C90" s="17">
        <v>0</v>
      </c>
      <c r="D90" s="17">
        <v>0</v>
      </c>
      <c r="E90" s="17">
        <v>70</v>
      </c>
      <c r="F90" s="17">
        <v>0</v>
      </c>
      <c r="G90" s="17">
        <v>190</v>
      </c>
      <c r="H90" s="18">
        <v>0</v>
      </c>
      <c r="I90" s="18">
        <v>0</v>
      </c>
      <c r="J90" s="17">
        <v>0</v>
      </c>
      <c r="K90" s="17">
        <v>0</v>
      </c>
      <c r="L90" s="17">
        <v>0</v>
      </c>
      <c r="M90" s="17">
        <v>0</v>
      </c>
      <c r="N90" s="17">
        <v>0</v>
      </c>
      <c r="O90" s="17">
        <v>0</v>
      </c>
      <c r="P90" s="17">
        <v>0</v>
      </c>
      <c r="Q90" s="17">
        <v>30</v>
      </c>
      <c r="R90" s="17">
        <v>0</v>
      </c>
      <c r="S90" s="17">
        <v>0</v>
      </c>
      <c r="T90" s="17">
        <v>0</v>
      </c>
      <c r="U90" s="17">
        <v>0</v>
      </c>
      <c r="V90" s="17">
        <v>190</v>
      </c>
      <c r="W90" s="17">
        <v>0</v>
      </c>
      <c r="X90" s="17">
        <v>0</v>
      </c>
      <c r="Y90" s="17">
        <v>0</v>
      </c>
      <c r="Z90" s="17">
        <v>0</v>
      </c>
      <c r="AA90" s="17">
        <v>0</v>
      </c>
      <c r="AB90" s="17">
        <v>0</v>
      </c>
      <c r="AC90" s="17">
        <v>150</v>
      </c>
      <c r="AD90" s="17">
        <v>0</v>
      </c>
      <c r="AE90" s="17">
        <v>0</v>
      </c>
      <c r="AF90" s="17">
        <v>0</v>
      </c>
      <c r="AG90" s="17">
        <v>0</v>
      </c>
      <c r="AH90" s="17">
        <v>0</v>
      </c>
      <c r="AI90" s="17">
        <v>0</v>
      </c>
      <c r="AJ90" s="17">
        <v>150</v>
      </c>
      <c r="AK90" s="17">
        <f>SUM(WeeklyExpenditure[[#This Row],[FOOD, WATER AND DRINKS]:[MISCELLANEOUS (Soap, Washing Powder, Others)]])</f>
        <v>1050</v>
      </c>
    </row>
    <row r="91" spans="1:37" s="15" customFormat="1" hidden="1" x14ac:dyDescent="0.25">
      <c r="A91" s="8">
        <f t="shared" si="1"/>
        <v>44828</v>
      </c>
      <c r="B91" s="17">
        <v>0</v>
      </c>
      <c r="C91" s="17">
        <v>0</v>
      </c>
      <c r="D91" s="17">
        <v>0</v>
      </c>
      <c r="E91" s="17">
        <v>0</v>
      </c>
      <c r="F91" s="17">
        <v>0</v>
      </c>
      <c r="G91" s="17">
        <v>0</v>
      </c>
      <c r="H91" s="18">
        <v>0</v>
      </c>
      <c r="I91" s="18">
        <v>0</v>
      </c>
      <c r="J91" s="17">
        <v>0</v>
      </c>
      <c r="K91" s="17">
        <v>0</v>
      </c>
      <c r="L91" s="17">
        <v>0</v>
      </c>
      <c r="M91" s="17">
        <v>0</v>
      </c>
      <c r="N91" s="17">
        <v>0</v>
      </c>
      <c r="O91" s="17">
        <v>0</v>
      </c>
      <c r="P91" s="17">
        <v>0</v>
      </c>
      <c r="Q91" s="17">
        <v>0</v>
      </c>
      <c r="R91" s="17">
        <v>0</v>
      </c>
      <c r="S91" s="17">
        <v>0</v>
      </c>
      <c r="T91" s="17">
        <v>200</v>
      </c>
      <c r="U91" s="17">
        <v>0</v>
      </c>
      <c r="V91" s="17">
        <v>0</v>
      </c>
      <c r="W91" s="17">
        <v>0</v>
      </c>
      <c r="X91" s="17">
        <v>0</v>
      </c>
      <c r="Y91" s="17">
        <v>0</v>
      </c>
      <c r="Z91" s="17">
        <v>0</v>
      </c>
      <c r="AA91" s="17">
        <v>0</v>
      </c>
      <c r="AB91" s="17">
        <v>0</v>
      </c>
      <c r="AC91" s="17">
        <v>0</v>
      </c>
      <c r="AD91" s="17">
        <v>0</v>
      </c>
      <c r="AE91" s="17">
        <v>0</v>
      </c>
      <c r="AF91" s="17">
        <v>0</v>
      </c>
      <c r="AG91" s="17">
        <v>0</v>
      </c>
      <c r="AH91" s="17">
        <v>0</v>
      </c>
      <c r="AI91" s="17">
        <v>0</v>
      </c>
      <c r="AJ91" s="17">
        <v>0</v>
      </c>
      <c r="AK91" s="19">
        <f>SUM(WeeklyExpenditure[[#This Row],[FOOD, WATER AND DRINKS]:[MISCELLANEOUS (Soap, Washing Powder, Others)]])</f>
        <v>200</v>
      </c>
    </row>
    <row r="92" spans="1:37" s="15" customFormat="1" hidden="1" x14ac:dyDescent="0.25">
      <c r="A92" s="8">
        <f t="shared" si="1"/>
        <v>44835</v>
      </c>
      <c r="B92" s="17">
        <v>474</v>
      </c>
      <c r="C92" s="17">
        <v>0</v>
      </c>
      <c r="D92" s="17">
        <v>0</v>
      </c>
      <c r="E92" s="17">
        <v>340</v>
      </c>
      <c r="F92" s="17">
        <v>230</v>
      </c>
      <c r="G92" s="17">
        <v>0</v>
      </c>
      <c r="H92" s="18">
        <v>0</v>
      </c>
      <c r="I92" s="18">
        <v>0</v>
      </c>
      <c r="J92" s="17">
        <v>0</v>
      </c>
      <c r="K92" s="17">
        <v>0</v>
      </c>
      <c r="L92" s="17">
        <v>0</v>
      </c>
      <c r="M92" s="17">
        <v>0</v>
      </c>
      <c r="N92" s="17">
        <v>0</v>
      </c>
      <c r="O92" s="17">
        <v>0</v>
      </c>
      <c r="P92" s="17">
        <v>0</v>
      </c>
      <c r="Q92" s="17">
        <v>0</v>
      </c>
      <c r="R92" s="17">
        <v>0</v>
      </c>
      <c r="S92" s="17">
        <v>0</v>
      </c>
      <c r="T92" s="17">
        <v>0</v>
      </c>
      <c r="U92" s="17">
        <v>0</v>
      </c>
      <c r="V92" s="17">
        <v>0</v>
      </c>
      <c r="W92" s="17">
        <v>43</v>
      </c>
      <c r="X92" s="17">
        <v>0</v>
      </c>
      <c r="Y92" s="17">
        <v>0</v>
      </c>
      <c r="Z92" s="17">
        <v>0</v>
      </c>
      <c r="AA92" s="17">
        <v>0</v>
      </c>
      <c r="AB92" s="17">
        <v>0</v>
      </c>
      <c r="AC92" s="17">
        <v>0</v>
      </c>
      <c r="AD92" s="17">
        <v>0</v>
      </c>
      <c r="AE92" s="17">
        <v>0</v>
      </c>
      <c r="AF92" s="17">
        <v>0</v>
      </c>
      <c r="AG92" s="17">
        <v>0</v>
      </c>
      <c r="AH92" s="17">
        <v>0</v>
      </c>
      <c r="AI92" s="17">
        <v>0</v>
      </c>
      <c r="AJ92" s="17">
        <v>120</v>
      </c>
      <c r="AK92" s="19">
        <f>SUM(WeeklyExpenditure[[#This Row],[FOOD, WATER AND DRINKS]:[MISCELLANEOUS (Soap, Washing Powder, Others)]])</f>
        <v>1207</v>
      </c>
    </row>
    <row r="93" spans="1:37" s="15" customFormat="1" hidden="1" x14ac:dyDescent="0.25">
      <c r="A93" s="8">
        <f t="shared" si="1"/>
        <v>44842</v>
      </c>
      <c r="B93" s="17">
        <v>0</v>
      </c>
      <c r="C93" s="17">
        <v>0</v>
      </c>
      <c r="D93" s="17">
        <v>0</v>
      </c>
      <c r="E93" s="17">
        <v>20</v>
      </c>
      <c r="F93" s="17">
        <v>0</v>
      </c>
      <c r="G93" s="17">
        <v>0</v>
      </c>
      <c r="H93" s="18">
        <v>0</v>
      </c>
      <c r="I93" s="18">
        <v>0</v>
      </c>
      <c r="J93" s="17">
        <v>0</v>
      </c>
      <c r="K93" s="17">
        <v>0</v>
      </c>
      <c r="L93" s="17">
        <v>0</v>
      </c>
      <c r="M93" s="17">
        <v>0</v>
      </c>
      <c r="N93" s="17">
        <v>0</v>
      </c>
      <c r="O93" s="17">
        <v>0</v>
      </c>
      <c r="P93" s="17">
        <v>0</v>
      </c>
      <c r="Q93" s="17">
        <v>0</v>
      </c>
      <c r="R93" s="17">
        <v>0</v>
      </c>
      <c r="S93" s="17">
        <v>0</v>
      </c>
      <c r="T93" s="17">
        <v>100</v>
      </c>
      <c r="U93" s="17">
        <v>0</v>
      </c>
      <c r="V93" s="17">
        <v>0</v>
      </c>
      <c r="W93" s="17">
        <v>0</v>
      </c>
      <c r="X93" s="17">
        <v>0</v>
      </c>
      <c r="Y93" s="17">
        <v>0</v>
      </c>
      <c r="Z93" s="17">
        <v>0</v>
      </c>
      <c r="AA93" s="17">
        <v>0</v>
      </c>
      <c r="AB93" s="17">
        <v>0</v>
      </c>
      <c r="AC93" s="17">
        <v>0</v>
      </c>
      <c r="AD93" s="17">
        <v>1100</v>
      </c>
      <c r="AE93" s="17">
        <v>0</v>
      </c>
      <c r="AF93" s="17">
        <v>0</v>
      </c>
      <c r="AG93" s="17">
        <v>0</v>
      </c>
      <c r="AH93" s="17">
        <v>0</v>
      </c>
      <c r="AI93" s="17">
        <v>0</v>
      </c>
      <c r="AJ93" s="17">
        <v>0</v>
      </c>
      <c r="AK93" s="19">
        <f>SUM(WeeklyExpenditure[[#This Row],[FOOD, WATER AND DRINKS]:[MISCELLANEOUS (Soap, Washing Powder, Others)]])</f>
        <v>1220</v>
      </c>
    </row>
    <row r="94" spans="1:37" s="15" customFormat="1" hidden="1" x14ac:dyDescent="0.25">
      <c r="A94" s="8">
        <f t="shared" si="1"/>
        <v>44849</v>
      </c>
      <c r="B94" s="17">
        <v>0</v>
      </c>
      <c r="C94" s="17">
        <v>0</v>
      </c>
      <c r="D94" s="17">
        <v>0</v>
      </c>
      <c r="E94" s="17">
        <v>40</v>
      </c>
      <c r="F94" s="17">
        <v>0</v>
      </c>
      <c r="G94" s="17">
        <v>0</v>
      </c>
      <c r="H94" s="18">
        <v>0</v>
      </c>
      <c r="I94" s="18">
        <v>0</v>
      </c>
      <c r="J94" s="17">
        <v>0</v>
      </c>
      <c r="K94" s="17">
        <v>0</v>
      </c>
      <c r="L94" s="17">
        <v>0</v>
      </c>
      <c r="M94" s="17">
        <v>0</v>
      </c>
      <c r="N94" s="17">
        <v>0</v>
      </c>
      <c r="O94" s="17">
        <v>300</v>
      </c>
      <c r="P94" s="17">
        <v>0</v>
      </c>
      <c r="Q94" s="17">
        <v>0</v>
      </c>
      <c r="R94" s="17">
        <v>0</v>
      </c>
      <c r="S94" s="17">
        <v>0</v>
      </c>
      <c r="T94" s="17">
        <v>0</v>
      </c>
      <c r="U94" s="17">
        <v>0</v>
      </c>
      <c r="V94" s="17">
        <v>0</v>
      </c>
      <c r="W94" s="17">
        <v>0</v>
      </c>
      <c r="X94" s="17">
        <v>0</v>
      </c>
      <c r="Y94" s="17">
        <v>0</v>
      </c>
      <c r="Z94" s="17">
        <v>0</v>
      </c>
      <c r="AA94" s="17">
        <v>0</v>
      </c>
      <c r="AB94" s="17">
        <v>0</v>
      </c>
      <c r="AC94" s="17">
        <v>0</v>
      </c>
      <c r="AD94" s="17">
        <v>0</v>
      </c>
      <c r="AE94" s="17">
        <v>0</v>
      </c>
      <c r="AF94" s="17">
        <v>0</v>
      </c>
      <c r="AG94" s="17">
        <v>0</v>
      </c>
      <c r="AH94" s="17">
        <v>0</v>
      </c>
      <c r="AI94" s="17">
        <v>0</v>
      </c>
      <c r="AJ94" s="17">
        <v>0</v>
      </c>
      <c r="AK94" s="19">
        <f>SUM(WeeklyExpenditure[[#This Row],[FOOD, WATER AND DRINKS]:[MISCELLANEOUS (Soap, Washing Powder, Others)]])</f>
        <v>340</v>
      </c>
    </row>
    <row r="95" spans="1:37" s="15" customFormat="1" hidden="1" x14ac:dyDescent="0.25">
      <c r="A95" s="8">
        <f t="shared" si="1"/>
        <v>44856</v>
      </c>
      <c r="B95" s="17">
        <v>440</v>
      </c>
      <c r="C95" s="17">
        <v>0</v>
      </c>
      <c r="D95" s="17">
        <v>0</v>
      </c>
      <c r="E95" s="17">
        <v>20</v>
      </c>
      <c r="F95" s="17">
        <v>0</v>
      </c>
      <c r="G95" s="17">
        <v>0</v>
      </c>
      <c r="H95" s="18">
        <v>0</v>
      </c>
      <c r="I95" s="18">
        <v>0</v>
      </c>
      <c r="J95" s="17">
        <v>0</v>
      </c>
      <c r="K95" s="17">
        <v>0</v>
      </c>
      <c r="L95" s="17">
        <v>0</v>
      </c>
      <c r="M95" s="17">
        <v>0</v>
      </c>
      <c r="N95" s="17">
        <v>0</v>
      </c>
      <c r="O95" s="17">
        <v>0</v>
      </c>
      <c r="P95" s="17">
        <v>0</v>
      </c>
      <c r="Q95" s="17">
        <v>0</v>
      </c>
      <c r="R95" s="17">
        <v>0</v>
      </c>
      <c r="S95" s="17">
        <v>400</v>
      </c>
      <c r="T95" s="17">
        <v>100</v>
      </c>
      <c r="U95" s="17">
        <v>0</v>
      </c>
      <c r="V95" s="17">
        <v>0</v>
      </c>
      <c r="W95" s="17">
        <v>0</v>
      </c>
      <c r="X95" s="17">
        <v>0</v>
      </c>
      <c r="Y95" s="17">
        <v>0</v>
      </c>
      <c r="Z95" s="17">
        <v>0</v>
      </c>
      <c r="AA95" s="17">
        <v>0</v>
      </c>
      <c r="AB95" s="17">
        <v>0</v>
      </c>
      <c r="AC95" s="17">
        <v>0</v>
      </c>
      <c r="AD95" s="17">
        <v>0</v>
      </c>
      <c r="AE95" s="17">
        <v>0</v>
      </c>
      <c r="AF95" s="17">
        <v>0</v>
      </c>
      <c r="AG95" s="17">
        <v>0</v>
      </c>
      <c r="AH95" s="17">
        <v>0</v>
      </c>
      <c r="AI95" s="17">
        <v>0</v>
      </c>
      <c r="AJ95" s="17">
        <v>30</v>
      </c>
      <c r="AK95" s="19">
        <f>SUM(WeeklyExpenditure[[#This Row],[FOOD, WATER AND DRINKS]:[MISCELLANEOUS (Soap, Washing Powder, Others)]])</f>
        <v>990</v>
      </c>
    </row>
    <row r="96" spans="1:37" s="15" customFormat="1" hidden="1" x14ac:dyDescent="0.25">
      <c r="A96" s="8">
        <f t="shared" si="1"/>
        <v>44863</v>
      </c>
      <c r="B96" s="17">
        <v>0</v>
      </c>
      <c r="C96" s="17">
        <v>0</v>
      </c>
      <c r="D96" s="17">
        <v>0</v>
      </c>
      <c r="E96" s="17">
        <v>0</v>
      </c>
      <c r="F96" s="17">
        <v>0</v>
      </c>
      <c r="G96" s="17">
        <v>0</v>
      </c>
      <c r="H96" s="18">
        <v>0</v>
      </c>
      <c r="I96" s="18">
        <v>0</v>
      </c>
      <c r="J96" s="17">
        <v>0</v>
      </c>
      <c r="K96" s="17">
        <v>0</v>
      </c>
      <c r="L96" s="17">
        <v>0</v>
      </c>
      <c r="M96" s="17">
        <v>0</v>
      </c>
      <c r="N96" s="17">
        <v>0</v>
      </c>
      <c r="O96" s="17">
        <v>0</v>
      </c>
      <c r="P96" s="17">
        <v>0</v>
      </c>
      <c r="Q96" s="17">
        <v>0</v>
      </c>
      <c r="R96" s="17">
        <v>0</v>
      </c>
      <c r="S96" s="17">
        <v>0</v>
      </c>
      <c r="T96" s="17">
        <v>100</v>
      </c>
      <c r="U96" s="17">
        <v>0</v>
      </c>
      <c r="V96" s="17">
        <v>0</v>
      </c>
      <c r="W96" s="17">
        <v>0</v>
      </c>
      <c r="X96" s="17">
        <v>0</v>
      </c>
      <c r="Y96" s="17">
        <v>0</v>
      </c>
      <c r="Z96" s="17">
        <v>0</v>
      </c>
      <c r="AA96" s="17">
        <v>0</v>
      </c>
      <c r="AB96" s="17">
        <v>0</v>
      </c>
      <c r="AC96" s="17">
        <v>0</v>
      </c>
      <c r="AD96" s="17">
        <v>0</v>
      </c>
      <c r="AE96" s="17">
        <v>0</v>
      </c>
      <c r="AF96" s="17">
        <v>0</v>
      </c>
      <c r="AG96" s="17">
        <v>0</v>
      </c>
      <c r="AH96" s="17">
        <v>0</v>
      </c>
      <c r="AI96" s="17">
        <v>0</v>
      </c>
      <c r="AJ96" s="17">
        <v>0</v>
      </c>
      <c r="AK96" s="19">
        <f>SUM(WeeklyExpenditure[[#This Row],[FOOD, WATER AND DRINKS]:[MISCELLANEOUS (Soap, Washing Powder, Others)]])</f>
        <v>100</v>
      </c>
    </row>
    <row r="97" spans="1:37" s="15" customFormat="1" hidden="1" x14ac:dyDescent="0.25">
      <c r="A97" s="8">
        <f t="shared" si="1"/>
        <v>44870</v>
      </c>
      <c r="B97" s="17">
        <v>150</v>
      </c>
      <c r="C97" s="17">
        <v>0</v>
      </c>
      <c r="D97" s="17">
        <v>0</v>
      </c>
      <c r="E97" s="17">
        <v>0</v>
      </c>
      <c r="F97" s="17">
        <v>0</v>
      </c>
      <c r="G97" s="17">
        <v>0</v>
      </c>
      <c r="H97" s="18">
        <v>0</v>
      </c>
      <c r="I97" s="18">
        <v>0</v>
      </c>
      <c r="J97" s="17">
        <v>0</v>
      </c>
      <c r="K97" s="17">
        <v>0</v>
      </c>
      <c r="L97" s="17">
        <v>0</v>
      </c>
      <c r="M97" s="17">
        <v>0</v>
      </c>
      <c r="N97" s="17">
        <v>0</v>
      </c>
      <c r="O97" s="17">
        <v>0</v>
      </c>
      <c r="P97" s="17">
        <v>0</v>
      </c>
      <c r="Q97" s="17">
        <v>0</v>
      </c>
      <c r="R97" s="17">
        <v>0</v>
      </c>
      <c r="S97" s="17">
        <v>0</v>
      </c>
      <c r="T97" s="17">
        <v>0</v>
      </c>
      <c r="U97" s="17">
        <v>0</v>
      </c>
      <c r="V97" s="17">
        <v>0</v>
      </c>
      <c r="W97" s="17">
        <v>0</v>
      </c>
      <c r="X97" s="17">
        <v>0</v>
      </c>
      <c r="Y97" s="17">
        <v>0</v>
      </c>
      <c r="Z97" s="17">
        <v>0</v>
      </c>
      <c r="AA97" s="17">
        <v>0</v>
      </c>
      <c r="AB97" s="17">
        <v>0</v>
      </c>
      <c r="AC97" s="17">
        <v>0</v>
      </c>
      <c r="AD97" s="17">
        <v>0</v>
      </c>
      <c r="AE97" s="17">
        <v>0</v>
      </c>
      <c r="AF97" s="17">
        <v>0</v>
      </c>
      <c r="AG97" s="17">
        <v>0</v>
      </c>
      <c r="AH97" s="17">
        <v>0</v>
      </c>
      <c r="AI97" s="17">
        <v>0</v>
      </c>
      <c r="AJ97" s="17">
        <v>75</v>
      </c>
      <c r="AK97" s="19">
        <f>SUM(WeeklyExpenditure[[#This Row],[FOOD, WATER AND DRINKS]:[MISCELLANEOUS (Soap, Washing Powder, Others)]])</f>
        <v>225</v>
      </c>
    </row>
    <row r="98" spans="1:37" s="15" customFormat="1" hidden="1" x14ac:dyDescent="0.25">
      <c r="A98" s="8">
        <f t="shared" si="1"/>
        <v>44877</v>
      </c>
      <c r="B98" s="17">
        <v>0</v>
      </c>
      <c r="C98" s="17">
        <v>0</v>
      </c>
      <c r="D98" s="17">
        <v>0</v>
      </c>
      <c r="E98" s="17">
        <v>20</v>
      </c>
      <c r="F98" s="17">
        <v>500</v>
      </c>
      <c r="G98" s="17">
        <v>7</v>
      </c>
      <c r="H98" s="18">
        <v>0</v>
      </c>
      <c r="I98" s="18">
        <v>0</v>
      </c>
      <c r="J98" s="17">
        <v>0</v>
      </c>
      <c r="K98" s="17">
        <v>0</v>
      </c>
      <c r="L98" s="17">
        <v>0</v>
      </c>
      <c r="M98" s="17">
        <v>0</v>
      </c>
      <c r="N98" s="17">
        <v>0</v>
      </c>
      <c r="O98" s="17">
        <v>0</v>
      </c>
      <c r="P98" s="17">
        <v>0</v>
      </c>
      <c r="Q98" s="17">
        <v>0</v>
      </c>
      <c r="R98" s="17">
        <v>0</v>
      </c>
      <c r="S98" s="17">
        <v>0</v>
      </c>
      <c r="T98" s="17">
        <v>0</v>
      </c>
      <c r="U98" s="17">
        <v>0</v>
      </c>
      <c r="V98" s="17">
        <v>0</v>
      </c>
      <c r="W98" s="17">
        <v>0</v>
      </c>
      <c r="X98" s="17">
        <v>0</v>
      </c>
      <c r="Y98" s="17">
        <v>0</v>
      </c>
      <c r="Z98" s="17">
        <v>0</v>
      </c>
      <c r="AA98" s="17">
        <v>0</v>
      </c>
      <c r="AB98" s="17">
        <v>0</v>
      </c>
      <c r="AC98" s="17">
        <v>0</v>
      </c>
      <c r="AD98" s="17">
        <v>0</v>
      </c>
      <c r="AE98" s="17">
        <v>0</v>
      </c>
      <c r="AF98" s="17">
        <v>0</v>
      </c>
      <c r="AG98" s="17">
        <v>0</v>
      </c>
      <c r="AH98" s="17">
        <v>0</v>
      </c>
      <c r="AI98" s="17">
        <v>0</v>
      </c>
      <c r="AJ98" s="17">
        <v>0</v>
      </c>
      <c r="AK98" s="19">
        <f>SUM(WeeklyExpenditure[[#This Row],[FOOD, WATER AND DRINKS]:[MISCELLANEOUS (Soap, Washing Powder, Others)]])</f>
        <v>527</v>
      </c>
    </row>
    <row r="99" spans="1:37" s="15" customFormat="1" hidden="1" x14ac:dyDescent="0.25">
      <c r="A99" s="8">
        <f t="shared" si="1"/>
        <v>44884</v>
      </c>
      <c r="B99" s="17">
        <v>50</v>
      </c>
      <c r="C99" s="17">
        <v>0</v>
      </c>
      <c r="D99" s="17">
        <v>0</v>
      </c>
      <c r="E99" s="17">
        <v>50</v>
      </c>
      <c r="F99" s="17">
        <v>0</v>
      </c>
      <c r="G99" s="17">
        <v>0</v>
      </c>
      <c r="H99" s="18">
        <v>125</v>
      </c>
      <c r="I99" s="18">
        <v>0</v>
      </c>
      <c r="J99" s="17">
        <v>0</v>
      </c>
      <c r="K99" s="17">
        <v>0</v>
      </c>
      <c r="L99" s="17">
        <v>0</v>
      </c>
      <c r="M99" s="17">
        <v>0</v>
      </c>
      <c r="N99" s="17">
        <v>0</v>
      </c>
      <c r="O99" s="17">
        <v>0</v>
      </c>
      <c r="P99" s="17">
        <v>0</v>
      </c>
      <c r="Q99" s="17">
        <v>0</v>
      </c>
      <c r="R99" s="17">
        <v>0</v>
      </c>
      <c r="S99" s="17">
        <v>0</v>
      </c>
      <c r="T99" s="17">
        <v>0</v>
      </c>
      <c r="U99" s="17">
        <v>0</v>
      </c>
      <c r="V99" s="17">
        <v>160</v>
      </c>
      <c r="W99" s="17">
        <v>0</v>
      </c>
      <c r="X99" s="17">
        <v>0</v>
      </c>
      <c r="Y99" s="17">
        <v>0</v>
      </c>
      <c r="Z99" s="17">
        <v>0</v>
      </c>
      <c r="AA99" s="17">
        <v>0</v>
      </c>
      <c r="AB99" s="17">
        <v>0</v>
      </c>
      <c r="AC99" s="17">
        <v>0</v>
      </c>
      <c r="AD99" s="17">
        <v>0</v>
      </c>
      <c r="AE99" s="17">
        <v>0</v>
      </c>
      <c r="AF99" s="17">
        <v>0</v>
      </c>
      <c r="AG99" s="17">
        <v>0</v>
      </c>
      <c r="AH99" s="17">
        <v>0</v>
      </c>
      <c r="AI99" s="17">
        <v>0</v>
      </c>
      <c r="AJ99" s="17">
        <v>0</v>
      </c>
      <c r="AK99" s="19">
        <f>SUM(WeeklyExpenditure[[#This Row],[FOOD, WATER AND DRINKS]:[MISCELLANEOUS (Soap, Washing Powder, Others)]])</f>
        <v>385</v>
      </c>
    </row>
    <row r="100" spans="1:37" s="15" customFormat="1" hidden="1" x14ac:dyDescent="0.25">
      <c r="A100" s="8">
        <f t="shared" si="1"/>
        <v>44891</v>
      </c>
      <c r="B100" s="17">
        <v>0</v>
      </c>
      <c r="C100" s="17">
        <v>0</v>
      </c>
      <c r="D100" s="17">
        <v>0</v>
      </c>
      <c r="E100" s="17">
        <v>90</v>
      </c>
      <c r="F100" s="17">
        <v>0</v>
      </c>
      <c r="G100" s="17">
        <v>0</v>
      </c>
      <c r="H100" s="18">
        <v>0</v>
      </c>
      <c r="I100" s="18">
        <v>0</v>
      </c>
      <c r="J100" s="17">
        <v>0</v>
      </c>
      <c r="K100" s="17">
        <v>0</v>
      </c>
      <c r="L100" s="17">
        <v>0</v>
      </c>
      <c r="M100" s="17">
        <v>0</v>
      </c>
      <c r="N100" s="17">
        <v>0</v>
      </c>
      <c r="O100" s="17">
        <v>0</v>
      </c>
      <c r="P100" s="17">
        <v>0</v>
      </c>
      <c r="Q100" s="17">
        <v>0</v>
      </c>
      <c r="R100" s="17">
        <v>0</v>
      </c>
      <c r="S100" s="17">
        <v>3602</v>
      </c>
      <c r="T100" s="17">
        <v>0</v>
      </c>
      <c r="U100" s="17">
        <v>0</v>
      </c>
      <c r="V100" s="17">
        <v>100</v>
      </c>
      <c r="W100" s="17">
        <v>0</v>
      </c>
      <c r="X100" s="17">
        <v>0</v>
      </c>
      <c r="Y100" s="17">
        <v>0</v>
      </c>
      <c r="Z100" s="17">
        <v>0</v>
      </c>
      <c r="AA100" s="17">
        <v>0</v>
      </c>
      <c r="AB100" s="17">
        <v>0</v>
      </c>
      <c r="AC100" s="17">
        <v>0</v>
      </c>
      <c r="AD100" s="17">
        <v>0</v>
      </c>
      <c r="AE100" s="17">
        <v>0</v>
      </c>
      <c r="AF100" s="17">
        <v>0</v>
      </c>
      <c r="AG100" s="17">
        <v>0</v>
      </c>
      <c r="AH100" s="17">
        <v>0</v>
      </c>
      <c r="AI100" s="17">
        <v>0</v>
      </c>
      <c r="AJ100" s="17">
        <v>70</v>
      </c>
      <c r="AK100" s="19">
        <f>SUM(WeeklyExpenditure[[#This Row],[FOOD, WATER AND DRINKS]:[MISCELLANEOUS (Soap, Washing Powder, Others)]])</f>
        <v>3862</v>
      </c>
    </row>
    <row r="101" spans="1:37" s="15" customFormat="1" hidden="1" x14ac:dyDescent="0.25">
      <c r="A101" s="8">
        <f t="shared" si="1"/>
        <v>44898</v>
      </c>
      <c r="B101" s="17">
        <v>87</v>
      </c>
      <c r="C101" s="17">
        <v>0</v>
      </c>
      <c r="D101" s="17">
        <v>0</v>
      </c>
      <c r="E101" s="17">
        <v>210</v>
      </c>
      <c r="F101" s="17">
        <v>200</v>
      </c>
      <c r="G101" s="17">
        <v>0</v>
      </c>
      <c r="H101" s="18">
        <v>200</v>
      </c>
      <c r="I101" s="18">
        <v>0</v>
      </c>
      <c r="J101" s="17">
        <v>0</v>
      </c>
      <c r="K101" s="17">
        <v>0</v>
      </c>
      <c r="L101" s="17">
        <v>0</v>
      </c>
      <c r="M101" s="17">
        <v>0</v>
      </c>
      <c r="N101" s="17">
        <v>0</v>
      </c>
      <c r="O101" s="17">
        <v>0</v>
      </c>
      <c r="P101" s="17">
        <v>30</v>
      </c>
      <c r="Q101" s="17">
        <v>0</v>
      </c>
      <c r="R101" s="17">
        <v>0</v>
      </c>
      <c r="S101" s="17">
        <v>0</v>
      </c>
      <c r="T101" s="17">
        <v>200</v>
      </c>
      <c r="U101" s="17">
        <v>0</v>
      </c>
      <c r="V101" s="17">
        <v>0</v>
      </c>
      <c r="W101" s="17">
        <v>0</v>
      </c>
      <c r="X101" s="17">
        <v>0</v>
      </c>
      <c r="Y101" s="17">
        <v>0</v>
      </c>
      <c r="Z101" s="17">
        <v>0</v>
      </c>
      <c r="AA101" s="17">
        <v>0</v>
      </c>
      <c r="AB101" s="17">
        <v>0</v>
      </c>
      <c r="AC101" s="17">
        <v>0</v>
      </c>
      <c r="AD101" s="17">
        <v>0</v>
      </c>
      <c r="AE101" s="17">
        <v>0</v>
      </c>
      <c r="AF101" s="17">
        <v>0</v>
      </c>
      <c r="AG101" s="17">
        <v>0</v>
      </c>
      <c r="AH101" s="17">
        <v>0</v>
      </c>
      <c r="AI101" s="17">
        <v>0</v>
      </c>
      <c r="AJ101" s="17">
        <v>0</v>
      </c>
      <c r="AK101" s="19">
        <f>SUM(WeeklyExpenditure[[#This Row],[FOOD, WATER AND DRINKS]:[MISCELLANEOUS (Soap, Washing Powder, Others)]])</f>
        <v>927</v>
      </c>
    </row>
    <row r="102" spans="1:37" s="15" customFormat="1" hidden="1" x14ac:dyDescent="0.25">
      <c r="A102" s="8">
        <f t="shared" si="1"/>
        <v>44905</v>
      </c>
      <c r="B102" s="17">
        <v>0</v>
      </c>
      <c r="C102" s="17">
        <v>0</v>
      </c>
      <c r="D102" s="17">
        <v>0</v>
      </c>
      <c r="E102" s="17">
        <v>0</v>
      </c>
      <c r="F102" s="17">
        <v>0</v>
      </c>
      <c r="G102" s="17">
        <v>0</v>
      </c>
      <c r="H102" s="18">
        <v>0</v>
      </c>
      <c r="I102" s="18">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450</v>
      </c>
      <c r="AA102" s="17">
        <v>0</v>
      </c>
      <c r="AB102" s="17">
        <v>0</v>
      </c>
      <c r="AC102" s="17">
        <v>0</v>
      </c>
      <c r="AD102" s="17">
        <v>0</v>
      </c>
      <c r="AE102" s="17">
        <v>0</v>
      </c>
      <c r="AF102" s="17">
        <v>0</v>
      </c>
      <c r="AG102" s="17">
        <v>0</v>
      </c>
      <c r="AH102" s="17">
        <v>0</v>
      </c>
      <c r="AI102" s="17">
        <v>0</v>
      </c>
      <c r="AJ102" s="17">
        <v>0</v>
      </c>
      <c r="AK102" s="19">
        <f>SUM(WeeklyExpenditure[[#This Row],[FOOD, WATER AND DRINKS]:[MISCELLANEOUS (Soap, Washing Powder, Others)]])</f>
        <v>450</v>
      </c>
    </row>
    <row r="103" spans="1:37" s="15" customFormat="1" hidden="1" x14ac:dyDescent="0.25">
      <c r="A103" s="8">
        <f t="shared" si="1"/>
        <v>44912</v>
      </c>
      <c r="B103" s="17">
        <v>0</v>
      </c>
      <c r="C103" s="17">
        <v>0</v>
      </c>
      <c r="D103" s="17">
        <v>0</v>
      </c>
      <c r="E103" s="17">
        <v>0</v>
      </c>
      <c r="F103" s="17">
        <v>0</v>
      </c>
      <c r="G103" s="17">
        <v>0</v>
      </c>
      <c r="H103" s="18">
        <v>0</v>
      </c>
      <c r="I103" s="18">
        <v>0</v>
      </c>
      <c r="J103" s="17">
        <v>0</v>
      </c>
      <c r="K103" s="17">
        <v>0</v>
      </c>
      <c r="L103" s="17">
        <v>0</v>
      </c>
      <c r="M103" s="17">
        <v>0</v>
      </c>
      <c r="N103" s="17">
        <v>0</v>
      </c>
      <c r="O103" s="17">
        <v>0</v>
      </c>
      <c r="P103" s="17">
        <v>0</v>
      </c>
      <c r="Q103" s="17">
        <v>0</v>
      </c>
      <c r="R103" s="17">
        <v>0</v>
      </c>
      <c r="S103" s="17">
        <v>0</v>
      </c>
      <c r="T103" s="17">
        <v>0</v>
      </c>
      <c r="U103" s="17">
        <v>0</v>
      </c>
      <c r="V103" s="17">
        <v>0</v>
      </c>
      <c r="W103" s="17">
        <v>0</v>
      </c>
      <c r="X103" s="17">
        <v>0</v>
      </c>
      <c r="Y103" s="17">
        <v>3012</v>
      </c>
      <c r="Z103" s="17">
        <v>0</v>
      </c>
      <c r="AA103" s="17">
        <v>0</v>
      </c>
      <c r="AB103" s="17">
        <v>0</v>
      </c>
      <c r="AC103" s="17">
        <v>0</v>
      </c>
      <c r="AD103" s="17">
        <v>0</v>
      </c>
      <c r="AE103" s="17">
        <v>0</v>
      </c>
      <c r="AF103" s="17">
        <v>0</v>
      </c>
      <c r="AG103" s="17">
        <v>0</v>
      </c>
      <c r="AH103" s="17">
        <v>0</v>
      </c>
      <c r="AI103" s="17">
        <v>0</v>
      </c>
      <c r="AJ103" s="17">
        <v>0</v>
      </c>
      <c r="AK103" s="19">
        <f>SUM(WeeklyExpenditure[[#This Row],[FOOD, WATER AND DRINKS]:[MISCELLANEOUS (Soap, Washing Powder, Others)]])</f>
        <v>3012</v>
      </c>
    </row>
    <row r="104" spans="1:37" s="15" customFormat="1" hidden="1" x14ac:dyDescent="0.25">
      <c r="A104" s="8">
        <f t="shared" si="1"/>
        <v>44919</v>
      </c>
      <c r="B104" s="17">
        <v>0</v>
      </c>
      <c r="C104" s="17">
        <v>0</v>
      </c>
      <c r="D104" s="17">
        <v>0</v>
      </c>
      <c r="E104" s="17">
        <v>50</v>
      </c>
      <c r="F104" s="17">
        <v>0</v>
      </c>
      <c r="G104" s="17">
        <v>0</v>
      </c>
      <c r="H104" s="18">
        <v>0</v>
      </c>
      <c r="I104" s="18">
        <v>2407</v>
      </c>
      <c r="J104" s="17">
        <v>0</v>
      </c>
      <c r="K104" s="17">
        <v>0</v>
      </c>
      <c r="L104" s="17">
        <v>0</v>
      </c>
      <c r="M104" s="17">
        <v>0</v>
      </c>
      <c r="N104" s="17">
        <v>4420</v>
      </c>
      <c r="O104" s="17">
        <v>0</v>
      </c>
      <c r="P104" s="17">
        <v>0</v>
      </c>
      <c r="Q104" s="17">
        <v>0</v>
      </c>
      <c r="R104" s="17">
        <v>0</v>
      </c>
      <c r="S104" s="17">
        <v>0</v>
      </c>
      <c r="T104" s="17">
        <v>250</v>
      </c>
      <c r="U104" s="17">
        <v>0</v>
      </c>
      <c r="V104" s="17">
        <v>0</v>
      </c>
      <c r="W104" s="17">
        <v>0</v>
      </c>
      <c r="X104" s="17">
        <v>0</v>
      </c>
      <c r="Y104" s="17">
        <v>0</v>
      </c>
      <c r="Z104" s="17">
        <v>0</v>
      </c>
      <c r="AA104" s="17">
        <v>0</v>
      </c>
      <c r="AB104" s="17">
        <v>0</v>
      </c>
      <c r="AC104" s="17">
        <v>11230</v>
      </c>
      <c r="AD104" s="17">
        <v>0</v>
      </c>
      <c r="AE104" s="17">
        <v>0</v>
      </c>
      <c r="AF104" s="17">
        <v>0</v>
      </c>
      <c r="AG104" s="17">
        <v>0</v>
      </c>
      <c r="AH104" s="17">
        <v>0</v>
      </c>
      <c r="AI104" s="17">
        <v>0</v>
      </c>
      <c r="AJ104" s="17">
        <v>0</v>
      </c>
      <c r="AK104" s="91">
        <f>SUM(WeeklyExpenditure[[#This Row],[FOOD, WATER AND DRINKS]:[MISCELLANEOUS (Soap, Washing Powder, Others)]])</f>
        <v>18357</v>
      </c>
    </row>
    <row r="105" spans="1:37" s="15" customFormat="1" hidden="1" x14ac:dyDescent="0.25">
      <c r="A105" s="8">
        <f t="shared" si="1"/>
        <v>44926</v>
      </c>
      <c r="B105" s="17">
        <v>0</v>
      </c>
      <c r="C105" s="17">
        <v>0</v>
      </c>
      <c r="D105" s="17">
        <v>0</v>
      </c>
      <c r="E105" s="17">
        <v>50</v>
      </c>
      <c r="F105" s="17">
        <v>0</v>
      </c>
      <c r="G105" s="17">
        <v>195</v>
      </c>
      <c r="H105" s="18">
        <v>0</v>
      </c>
      <c r="I105" s="18">
        <v>0</v>
      </c>
      <c r="J105" s="17">
        <v>0</v>
      </c>
      <c r="K105" s="17">
        <v>0</v>
      </c>
      <c r="L105" s="17">
        <v>0</v>
      </c>
      <c r="M105" s="17">
        <v>0</v>
      </c>
      <c r="N105" s="17">
        <v>0</v>
      </c>
      <c r="O105" s="17">
        <v>0</v>
      </c>
      <c r="P105" s="17">
        <v>0</v>
      </c>
      <c r="Q105" s="17">
        <v>0</v>
      </c>
      <c r="R105" s="17">
        <v>0</v>
      </c>
      <c r="S105" s="17">
        <v>0</v>
      </c>
      <c r="T105" s="17">
        <v>0</v>
      </c>
      <c r="U105" s="17">
        <v>0</v>
      </c>
      <c r="V105" s="17">
        <v>0</v>
      </c>
      <c r="W105" s="17">
        <v>0</v>
      </c>
      <c r="X105" s="17">
        <v>15000</v>
      </c>
      <c r="Y105" s="17">
        <v>0</v>
      </c>
      <c r="Z105" s="17">
        <v>0</v>
      </c>
      <c r="AA105" s="17">
        <v>0</v>
      </c>
      <c r="AB105" s="17">
        <v>0</v>
      </c>
      <c r="AC105" s="17">
        <v>0</v>
      </c>
      <c r="AD105" s="17">
        <v>0</v>
      </c>
      <c r="AE105" s="17">
        <v>0</v>
      </c>
      <c r="AF105" s="17">
        <v>0</v>
      </c>
      <c r="AG105" s="17">
        <v>0</v>
      </c>
      <c r="AH105" s="17">
        <v>0</v>
      </c>
      <c r="AI105" s="17">
        <v>0</v>
      </c>
      <c r="AJ105" s="17">
        <v>10</v>
      </c>
      <c r="AK105" s="19">
        <f>SUM(WeeklyExpenditure[[#This Row],[FOOD, WATER AND DRINKS]:[MISCELLANEOUS (Soap, Washing Powder, Others)]])</f>
        <v>15255</v>
      </c>
    </row>
    <row r="106" spans="1:37" x14ac:dyDescent="0.25">
      <c r="A106" s="116" t="s">
        <v>20</v>
      </c>
      <c r="B106" s="121">
        <f>SUBTOTAL(109,WeeklyExpenditure[FOOD, WATER AND DRINKS])</f>
        <v>353</v>
      </c>
      <c r="C106" s="121">
        <f>SUBTOTAL(109,WeeklyExpenditure[BANK CHARGES])</f>
        <v>0</v>
      </c>
      <c r="D106" s="121">
        <f>SUBTOTAL(109,WeeklyExpenditure[COVID 19  ITEMS])</f>
        <v>110</v>
      </c>
      <c r="E106" s="121">
        <f>SUBTOTAL(109,WeeklyExpenditure[TRANSPORTATION])</f>
        <v>20</v>
      </c>
      <c r="F106" s="121">
        <f>SUBTOTAL(109,WeeklyExpenditure[DONATION])</f>
        <v>150</v>
      </c>
      <c r="G106" s="121">
        <f>SUBTOTAL(109,WeeklyExpenditure[PRINTING &amp; BOOKS])</f>
        <v>150</v>
      </c>
      <c r="H106" s="122">
        <f>SUBTOTAL(109,WeeklyExpenditure[NURSERY])</f>
        <v>0</v>
      </c>
      <c r="I106" s="122">
        <f>SUBTOTAL(109,WeeklyExpenditure[SABBATH SCHOOL])</f>
        <v>0</v>
      </c>
      <c r="J106" s="121">
        <f>SUBTOTAL(109,WeeklyExpenditure[RENOVATION TEACHERS BUNGALOW])</f>
        <v>0</v>
      </c>
      <c r="K106" s="121">
        <f>SUBTOTAL(109,WeeklyExpenditure[MECHANISED WATER PROJECT])</f>
        <v>0</v>
      </c>
      <c r="L106" s="121">
        <f>SUBTOTAL(109,WeeklyExpenditure[WAGES (NURSERY)])</f>
        <v>0</v>
      </c>
      <c r="M106" s="121">
        <f>SUBTOTAL(109,WeeklyExpenditure[BEAUTIFICATION OF CHURCH &amp; SCHOOL COMPOUND])</f>
        <v>0</v>
      </c>
      <c r="N106" s="121">
        <f>SUBTOTAL(109,WeeklyExpenditure[AYS (T&amp;T, Others)])</f>
        <v>0</v>
      </c>
      <c r="O106" s="121">
        <f>SUBTOTAL(109,WeeklyExpenditure[CHOIR (T&amp;T, Others])</f>
        <v>0</v>
      </c>
      <c r="P106" s="121">
        <f>SUBTOTAL(109,WeeklyExpenditure[SINGING BAND (T&amp;T, Others)])</f>
        <v>0</v>
      </c>
      <c r="Q106" s="121">
        <f>SUBTOTAL(109,WeeklyExpenditure[AMM (T&amp;T, Others)])</f>
        <v>0</v>
      </c>
      <c r="R106" s="121">
        <f>SUBTOTAL(109,WeeklyExpenditure[WOMEN MINSTRY (T&amp;T, Others])</f>
        <v>110</v>
      </c>
      <c r="S106" s="121">
        <f>SUBTOTAL(109,WeeklyExpenditure[WELFARE FUNERAL DONATIONS])</f>
        <v>1368</v>
      </c>
      <c r="T106" s="121">
        <f>SUBTOTAL(109,WeeklyExpenditure[WELFARE OTHER DONATIONS (MARRIAGE, ETC)])</f>
        <v>50</v>
      </c>
      <c r="U106" s="121">
        <f>SUBTOTAL(109,WeeklyExpenditure[PROJECTOR])</f>
        <v>0</v>
      </c>
      <c r="V106" s="121">
        <f>SUBTOTAL(109,WeeklyExpenditure[MAITENANCE / REPAIRS])</f>
        <v>0</v>
      </c>
      <c r="W106" s="121">
        <f>SUBTOTAL(109,WeeklyExpenditure[LORD''S SUPPER])</f>
        <v>0</v>
      </c>
      <c r="X106" s="121">
        <f>SUBTOTAL(109,WeeklyExpenditure[LOAN (REPAYMENT])</f>
        <v>0</v>
      </c>
      <c r="Y106" s="121">
        <f>SUBTOTAL(109,WeeklyExpenditure[HARVEST EXPENDITURE])</f>
        <v>0</v>
      </c>
      <c r="Z106" s="121">
        <f>SUBTOTAL(109,WeeklyExpenditure[ELECTRICITY])</f>
        <v>0</v>
      </c>
      <c r="AA106" s="121">
        <f>SUBTOTAL(109,WeeklyExpenditure[CONFERENCE FUND])</f>
        <v>0</v>
      </c>
      <c r="AB106" s="121">
        <f>SUBTOTAL(109,WeeklyExpenditure[DISTRICT FUND])</f>
        <v>0</v>
      </c>
      <c r="AC106" s="121">
        <f>SUBTOTAL(109,WeeklyExpenditure[WASHROOM PROJECT])</f>
        <v>0</v>
      </c>
      <c r="AD106" s="121">
        <f>SUBTOTAL(109,WeeklyExpenditure[CARE FOR THE AGED &amp; SICK])</f>
        <v>0</v>
      </c>
      <c r="AE106" s="121">
        <f>SUBTOTAL(109,WeeklyExpenditure[HOME COMING])</f>
        <v>0</v>
      </c>
      <c r="AF106" s="121">
        <f>SUBTOTAL(109,WeeklyExpenditure[CAMP MEETING])</f>
        <v>0</v>
      </c>
      <c r="AG106" s="121">
        <f>SUBTOTAL(109,WeeklyExpenditure[TRADITIONAL DAY])</f>
        <v>0</v>
      </c>
      <c r="AH106" s="121">
        <f>SUBTOTAL(109,WeeklyExpenditure[ANNUAL THANKSGIVING/HARVEST])</f>
        <v>0</v>
      </c>
      <c r="AI106" s="121">
        <f>SUBTOTAL(109,WeeklyExpenditure[POST  OFFICE])</f>
        <v>0</v>
      </c>
      <c r="AJ106" s="121">
        <f>SUBTOTAL(109,WeeklyExpenditure[MISCELLANEOUS (Soap, Washing Powder, Others)])</f>
        <v>105</v>
      </c>
      <c r="AK106" s="121">
        <f>SUBTOTAL(109,WeeklyExpenditure[TOTAL])</f>
        <v>2416</v>
      </c>
    </row>
    <row r="107" spans="1:37" x14ac:dyDescent="0.25">
      <c r="A107" s="6"/>
      <c r="B107" s="9"/>
      <c r="C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row>
    <row r="108" spans="1:37" x14ac:dyDescent="0.25">
      <c r="A108" s="6"/>
      <c r="B108" s="9"/>
      <c r="C108" s="9"/>
      <c r="E108" s="9"/>
      <c r="F108" s="9"/>
      <c r="G108" s="9"/>
      <c r="H108" s="13"/>
      <c r="I108" s="13"/>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row>
    <row r="109" spans="1:37" x14ac:dyDescent="0.25">
      <c r="B109" s="9"/>
      <c r="C109" s="9"/>
      <c r="D109" s="9"/>
      <c r="E109" s="9"/>
      <c r="F109" s="9"/>
      <c r="G109" s="9"/>
      <c r="H109" s="13"/>
      <c r="I109" s="13"/>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row>
    <row r="110" spans="1:37" x14ac:dyDescent="0.25">
      <c r="B110" s="9"/>
      <c r="C110" s="9"/>
      <c r="D110" s="9"/>
      <c r="E110" s="9"/>
      <c r="F110" s="9"/>
      <c r="G110" s="9"/>
      <c r="H110" s="13"/>
      <c r="I110" s="13"/>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row>
    <row r="111" spans="1:37" x14ac:dyDescent="0.25">
      <c r="B111" s="9"/>
      <c r="C111" s="9"/>
      <c r="D111" s="9"/>
      <c r="E111" s="9"/>
      <c r="F111" s="9"/>
      <c r="G111" s="9"/>
      <c r="H111" s="13"/>
      <c r="I111" s="13"/>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row>
    <row r="112" spans="1:37" x14ac:dyDescent="0.25">
      <c r="B112" s="9"/>
      <c r="C112" s="9"/>
      <c r="D112" s="9"/>
      <c r="E112" s="9"/>
      <c r="F112" s="9"/>
      <c r="G112" s="9"/>
      <c r="H112" s="13"/>
      <c r="I112" s="13"/>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row>
    <row r="113" spans="2:37" x14ac:dyDescent="0.25">
      <c r="B113" s="9"/>
      <c r="C113" s="9"/>
      <c r="D113" s="9"/>
      <c r="E113" s="9"/>
      <c r="F113" s="9"/>
      <c r="G113" s="9"/>
      <c r="H113" s="13"/>
      <c r="I113" s="13"/>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row>
    <row r="114" spans="2:37" x14ac:dyDescent="0.25">
      <c r="B114" s="9"/>
      <c r="C114" s="9"/>
      <c r="D114" s="9"/>
      <c r="E114" s="9"/>
      <c r="F114" s="9"/>
      <c r="G114" s="9"/>
      <c r="H114" s="13"/>
      <c r="I114" s="13"/>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row>
    <row r="115" spans="2:37" x14ac:dyDescent="0.25">
      <c r="B115" s="9"/>
      <c r="C115" s="9"/>
      <c r="D115" s="9"/>
      <c r="E115" s="9"/>
      <c r="F115" s="9"/>
      <c r="G115" s="9"/>
      <c r="H115" s="13"/>
      <c r="I115" s="13"/>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row>
    <row r="116" spans="2:37" x14ac:dyDescent="0.25">
      <c r="B116" s="9"/>
      <c r="C116" s="9"/>
      <c r="D116" s="9"/>
      <c r="E116" s="9"/>
      <c r="F116" s="9"/>
      <c r="G116" s="9"/>
      <c r="H116" s="13"/>
      <c r="I116" s="13"/>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row>
    <row r="117" spans="2:37" x14ac:dyDescent="0.25">
      <c r="B117" s="9"/>
      <c r="C117" s="9"/>
      <c r="D117" s="9"/>
      <c r="E117" s="9"/>
      <c r="F117" s="9"/>
      <c r="G117" s="9"/>
      <c r="H117" s="13"/>
      <c r="I117" s="13"/>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row>
    <row r="118" spans="2:37" x14ac:dyDescent="0.25">
      <c r="B118" s="9"/>
      <c r="C118" s="9"/>
      <c r="D118" s="9"/>
      <c r="E118" s="9"/>
      <c r="F118" s="9"/>
      <c r="G118" s="9"/>
      <c r="H118" s="13"/>
      <c r="I118" s="13"/>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row>
    <row r="119" spans="2:37" x14ac:dyDescent="0.25">
      <c r="B119" s="9"/>
      <c r="C119" s="9"/>
      <c r="D119" s="9"/>
      <c r="E119" s="9"/>
      <c r="F119" s="9"/>
      <c r="G119" s="9"/>
      <c r="H119" s="13"/>
      <c r="I119" s="13"/>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row>
    <row r="120" spans="2:37" x14ac:dyDescent="0.25">
      <c r="B120" s="9"/>
      <c r="C120" s="9"/>
      <c r="D120" s="9"/>
      <c r="E120" s="9"/>
      <c r="F120" s="9"/>
      <c r="G120" s="9"/>
      <c r="H120" s="13"/>
      <c r="I120" s="13"/>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row>
    <row r="121" spans="2:37" x14ac:dyDescent="0.25">
      <c r="B121" s="9"/>
      <c r="C121" s="9"/>
      <c r="D121" s="9"/>
      <c r="E121" s="9"/>
      <c r="F121" s="9"/>
      <c r="G121" s="9"/>
      <c r="H121" s="13"/>
      <c r="I121" s="13"/>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row>
    <row r="122" spans="2:37" x14ac:dyDescent="0.25">
      <c r="B122" s="9"/>
      <c r="C122" s="9"/>
      <c r="D122" s="9"/>
      <c r="E122" s="9"/>
      <c r="F122" s="9"/>
      <c r="G122" s="9"/>
      <c r="H122" s="13"/>
      <c r="I122" s="13"/>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row>
    <row r="123" spans="2:37" x14ac:dyDescent="0.25">
      <c r="B123" s="9"/>
      <c r="C123" s="9"/>
      <c r="D123" s="9"/>
      <c r="E123" s="9"/>
      <c r="F123" s="9"/>
      <c r="G123" s="9"/>
      <c r="H123" s="13"/>
      <c r="I123" s="13"/>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row>
    <row r="124" spans="2:37" x14ac:dyDescent="0.25">
      <c r="B124" s="9"/>
      <c r="C124" s="9"/>
      <c r="D124" s="9"/>
      <c r="E124" s="9"/>
      <c r="F124" s="9"/>
      <c r="G124" s="9"/>
      <c r="H124" s="13"/>
      <c r="I124" s="13"/>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row>
    <row r="125" spans="2:37" x14ac:dyDescent="0.25">
      <c r="B125" s="9"/>
      <c r="C125" s="9"/>
      <c r="D125" s="9"/>
      <c r="E125" s="9"/>
      <c r="F125" s="9"/>
      <c r="G125" s="9"/>
      <c r="H125" s="13"/>
      <c r="I125" s="13"/>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row>
    <row r="126" spans="2:37" x14ac:dyDescent="0.25">
      <c r="B126" s="9"/>
      <c r="C126" s="9"/>
      <c r="D126" s="9"/>
      <c r="E126" s="9"/>
      <c r="F126" s="9"/>
      <c r="G126" s="9"/>
      <c r="H126" s="13"/>
      <c r="I126" s="13"/>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row>
    <row r="127" spans="2:37" x14ac:dyDescent="0.25">
      <c r="B127" s="9"/>
      <c r="C127" s="9"/>
      <c r="D127" s="9"/>
      <c r="E127" s="9"/>
      <c r="F127" s="9"/>
      <c r="G127" s="9"/>
      <c r="H127" s="13"/>
      <c r="I127" s="13"/>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row>
    <row r="128" spans="2:37" x14ac:dyDescent="0.25">
      <c r="B128" s="9"/>
      <c r="C128" s="9"/>
      <c r="D128" s="9"/>
      <c r="E128" s="9"/>
      <c r="F128" s="9"/>
      <c r="G128" s="9"/>
      <c r="H128" s="13"/>
      <c r="I128" s="13"/>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row>
    <row r="129" spans="2:37" x14ac:dyDescent="0.25">
      <c r="B129" s="9"/>
      <c r="C129" s="9"/>
      <c r="D129" s="9"/>
      <c r="E129" s="9"/>
      <c r="F129" s="9"/>
      <c r="G129" s="9"/>
      <c r="H129" s="13"/>
      <c r="I129" s="13"/>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row>
    <row r="130" spans="2:37" x14ac:dyDescent="0.25">
      <c r="B130" s="9"/>
      <c r="C130" s="9"/>
      <c r="D130" s="9"/>
      <c r="E130" s="9"/>
      <c r="F130" s="9"/>
      <c r="G130" s="9"/>
      <c r="H130" s="13"/>
      <c r="I130" s="13"/>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row>
    <row r="131" spans="2:37" x14ac:dyDescent="0.25">
      <c r="B131" s="9"/>
      <c r="C131" s="9"/>
      <c r="D131" s="9"/>
      <c r="E131" s="9"/>
      <c r="F131" s="9"/>
      <c r="G131" s="9"/>
      <c r="H131" s="13"/>
      <c r="I131" s="13"/>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row>
    <row r="132" spans="2:37" x14ac:dyDescent="0.25">
      <c r="B132" s="9"/>
      <c r="C132" s="9"/>
      <c r="D132" s="9"/>
      <c r="E132" s="9"/>
      <c r="F132" s="9"/>
      <c r="G132" s="9"/>
      <c r="H132" s="13"/>
      <c r="I132" s="13"/>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row>
    <row r="133" spans="2:37" x14ac:dyDescent="0.25">
      <c r="B133" s="9"/>
      <c r="C133" s="9"/>
      <c r="D133" s="9"/>
      <c r="E133" s="9"/>
      <c r="F133" s="9"/>
      <c r="G133" s="9"/>
      <c r="H133" s="13"/>
      <c r="I133" s="13"/>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row>
    <row r="134" spans="2:37" x14ac:dyDescent="0.25">
      <c r="B134" s="9"/>
      <c r="C134" s="9"/>
      <c r="D134" s="9"/>
      <c r="E134" s="9"/>
      <c r="F134" s="9"/>
      <c r="G134" s="9"/>
      <c r="H134" s="13"/>
      <c r="I134" s="13"/>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row>
    <row r="135" spans="2:37" x14ac:dyDescent="0.25">
      <c r="B135" s="9"/>
      <c r="C135" s="9"/>
      <c r="D135" s="9"/>
      <c r="E135" s="9"/>
      <c r="F135" s="9"/>
      <c r="G135" s="9"/>
      <c r="H135" s="13"/>
      <c r="I135" s="13"/>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row>
    <row r="136" spans="2:37" x14ac:dyDescent="0.25">
      <c r="B136" s="9"/>
      <c r="C136" s="9"/>
      <c r="D136" s="9"/>
      <c r="E136" s="9"/>
      <c r="F136" s="9"/>
      <c r="G136" s="9"/>
      <c r="H136" s="13"/>
      <c r="I136" s="13"/>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row>
    <row r="137" spans="2:37" x14ac:dyDescent="0.25">
      <c r="B137" s="9"/>
      <c r="C137" s="9"/>
      <c r="D137" s="9"/>
      <c r="E137" s="9"/>
      <c r="F137" s="9"/>
      <c r="G137" s="9"/>
      <c r="H137" s="13"/>
      <c r="I137" s="13"/>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row>
    <row r="138" spans="2:37" x14ac:dyDescent="0.25">
      <c r="B138" s="9"/>
      <c r="C138" s="9"/>
      <c r="D138" s="9"/>
      <c r="E138" s="9"/>
      <c r="F138" s="9"/>
      <c r="G138" s="9"/>
      <c r="H138" s="13"/>
      <c r="I138" s="13"/>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row>
  </sheetData>
  <sheetProtection sheet="1" objects="1" scenarios="1" sort="0" autoFilter="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1" r:id="rId4" name="Button 9">
              <controlPr defaultSize="0" print="0" autoFill="0" autoPict="0" macro="[0]!SaveToLocations">
                <anchor>
                  <from>
                    <xdr:col>5</xdr:col>
                    <xdr:colOff>571500</xdr:colOff>
                    <xdr:row>115</xdr:row>
                    <xdr:rowOff>19050</xdr:rowOff>
                  </from>
                  <to>
                    <xdr:col>6</xdr:col>
                    <xdr:colOff>914400</xdr:colOff>
                    <xdr:row>117</xdr:row>
                    <xdr:rowOff>171450</xdr:rowOff>
                  </to>
                </anchor>
              </controlPr>
            </control>
          </mc:Choice>
        </mc:AlternateContent>
        <mc:AlternateContent xmlns:mc="http://schemas.openxmlformats.org/markup-compatibility/2006">
          <mc:Choice Requires="x14">
            <control shapeId="3082" r:id="rId5" name="Button 10">
              <controlPr defaultSize="0" print="0" autoFill="0" autoPict="0" macro="[0]!WeeklyReports">
                <anchor>
                  <from>
                    <xdr:col>4</xdr:col>
                    <xdr:colOff>457200</xdr:colOff>
                    <xdr:row>115</xdr:row>
                    <xdr:rowOff>19050</xdr:rowOff>
                  </from>
                  <to>
                    <xdr:col>5</xdr:col>
                    <xdr:colOff>447675</xdr:colOff>
                    <xdr:row>117</xdr:row>
                    <xdr:rowOff>171450</xdr:rowOff>
                  </to>
                </anchor>
              </controlPr>
            </control>
          </mc:Choice>
        </mc:AlternateContent>
        <mc:AlternateContent xmlns:mc="http://schemas.openxmlformats.org/markup-compatibility/2006">
          <mc:Choice Requires="x14">
            <control shapeId="3083" r:id="rId6" name="Button 11">
              <controlPr defaultSize="0" print="0" autoFill="0" autoPict="0" macro="[0]!Receipt_Numbers">
                <anchor>
                  <from>
                    <xdr:col>3</xdr:col>
                    <xdr:colOff>180975</xdr:colOff>
                    <xdr:row>115</xdr:row>
                    <xdr:rowOff>19050</xdr:rowOff>
                  </from>
                  <to>
                    <xdr:col>4</xdr:col>
                    <xdr:colOff>323850</xdr:colOff>
                    <xdr:row>117</xdr:row>
                    <xdr:rowOff>152400</xdr:rowOff>
                  </to>
                </anchor>
              </controlPr>
            </control>
          </mc:Choice>
        </mc:AlternateContent>
        <mc:AlternateContent xmlns:mc="http://schemas.openxmlformats.org/markup-compatibility/2006">
          <mc:Choice Requires="x14">
            <control shapeId="3084" r:id="rId7" name="Button 12">
              <controlPr defaultSize="0" print="0" autoFill="0" autoPict="0" macro="[0]!Generate_Report">
                <anchor>
                  <from>
                    <xdr:col>1</xdr:col>
                    <xdr:colOff>1695450</xdr:colOff>
                    <xdr:row>115</xdr:row>
                    <xdr:rowOff>19050</xdr:rowOff>
                  </from>
                  <to>
                    <xdr:col>3</xdr:col>
                    <xdr:colOff>57150</xdr:colOff>
                    <xdr:row>117</xdr:row>
                    <xdr:rowOff>152400</xdr:rowOff>
                  </to>
                </anchor>
              </controlPr>
            </control>
          </mc:Choice>
        </mc:AlternateContent>
        <mc:AlternateContent xmlns:mc="http://schemas.openxmlformats.org/markup-compatibility/2006">
          <mc:Choice Requires="x14">
            <control shapeId="3086" r:id="rId8" name="Button 14">
              <controlPr defaultSize="0" print="0" autoFill="0" autoPict="0" macro="[0]!Module2.Income">
                <anchor>
                  <from>
                    <xdr:col>8</xdr:col>
                    <xdr:colOff>180975</xdr:colOff>
                    <xdr:row>115</xdr:row>
                    <xdr:rowOff>19050</xdr:rowOff>
                  </from>
                  <to>
                    <xdr:col>9</xdr:col>
                    <xdr:colOff>276225</xdr:colOff>
                    <xdr:row>117</xdr:row>
                    <xdr:rowOff>152400</xdr:rowOff>
                  </to>
                </anchor>
              </controlPr>
            </control>
          </mc:Choice>
        </mc:AlternateContent>
        <mc:AlternateContent xmlns:mc="http://schemas.openxmlformats.org/markup-compatibility/2006">
          <mc:Choice Requires="x14">
            <control shapeId="3087" r:id="rId9" name="Button 15">
              <controlPr defaultSize="0" print="0" autoFill="0" autoPict="0" macro="[0]!Heritage_Funds">
                <anchor>
                  <from>
                    <xdr:col>6</xdr:col>
                    <xdr:colOff>1057275</xdr:colOff>
                    <xdr:row>115</xdr:row>
                    <xdr:rowOff>19050</xdr:rowOff>
                  </from>
                  <to>
                    <xdr:col>8</xdr:col>
                    <xdr:colOff>57150</xdr:colOff>
                    <xdr:row>117</xdr:row>
                    <xdr:rowOff>171450</xdr:rowOff>
                  </to>
                </anchor>
              </controlPr>
            </control>
          </mc:Choice>
        </mc:AlternateContent>
        <mc:AlternateContent xmlns:mc="http://schemas.openxmlformats.org/markup-compatibility/2006">
          <mc:Choice Requires="x14">
            <control shapeId="3088" r:id="rId10" name="Button 16">
              <controlPr defaultSize="0" print="0" autoFill="0" autoPict="0" macro="[0]!Return_Home">
                <anchor>
                  <from>
                    <xdr:col>1</xdr:col>
                    <xdr:colOff>266700</xdr:colOff>
                    <xdr:row>115</xdr:row>
                    <xdr:rowOff>19050</xdr:rowOff>
                  </from>
                  <to>
                    <xdr:col>1</xdr:col>
                    <xdr:colOff>1571625</xdr:colOff>
                    <xdr:row>117</xdr:row>
                    <xdr:rowOff>152400</xdr:rowOff>
                  </to>
                </anchor>
              </controlPr>
            </control>
          </mc:Choice>
        </mc:AlternateContent>
      </controls>
    </mc:Choice>
  </mc:AlternateContent>
  <tableParts count="1">
    <tablePart r:id="rId1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pageSetUpPr fitToPage="1"/>
  </sheetPr>
  <dimension ref="A1:AF142"/>
  <sheetViews>
    <sheetView showGridLines="0" zoomScale="55" zoomScaleNormal="55" zoomScalePageLayoutView="55" workbookViewId="0">
      <selection activeCell="D14" sqref="D14"/>
    </sheetView>
  </sheetViews>
  <sheetFormatPr defaultColWidth="9.140625" defaultRowHeight="21" x14ac:dyDescent="0.35"/>
  <cols>
    <col min="1" max="1" width="74.7109375" style="183" bestFit="1" customWidth="1"/>
    <col min="2" max="2" width="19.5703125" style="183" customWidth="1"/>
    <col min="3" max="3" width="25.7109375" style="183" customWidth="1"/>
    <col min="4" max="4" width="23" style="183" bestFit="1" customWidth="1"/>
    <col min="5" max="5" width="20.85546875" style="183" customWidth="1"/>
    <col min="6" max="6" width="10.140625" style="183" customWidth="1"/>
    <col min="7" max="7" width="9.28515625" style="183" customWidth="1"/>
    <col min="8" max="8" width="11.28515625" style="183" customWidth="1"/>
    <col min="9" max="9" width="27.85546875" style="183" bestFit="1" customWidth="1"/>
    <col min="10" max="10" width="16.28515625" style="183" bestFit="1" customWidth="1"/>
    <col min="11" max="11" width="14.7109375" style="183" customWidth="1"/>
    <col min="12" max="12" width="9.28515625" style="183" customWidth="1"/>
    <col min="13" max="13" width="8" style="183" customWidth="1"/>
    <col min="14" max="14" width="11.28515625" style="183" customWidth="1"/>
    <col min="15" max="15" width="12.5703125" style="183" customWidth="1"/>
    <col min="16" max="16" width="9.42578125" style="183" bestFit="1" customWidth="1"/>
    <col min="17" max="17" width="14.140625" style="183" bestFit="1" customWidth="1"/>
    <col min="18" max="18" width="11.7109375" style="183" bestFit="1" customWidth="1"/>
    <col min="19" max="20" width="11.5703125" style="183" bestFit="1" customWidth="1"/>
    <col min="21" max="21" width="9.42578125" style="183" bestFit="1" customWidth="1"/>
    <col min="22" max="22" width="14.140625" style="183" bestFit="1" customWidth="1"/>
    <col min="23" max="24" width="11.5703125" style="183" bestFit="1" customWidth="1"/>
    <col min="25" max="25" width="9.28515625" style="183" bestFit="1" customWidth="1"/>
    <col min="26" max="26" width="15.5703125" style="183" bestFit="1" customWidth="1"/>
    <col min="27" max="16384" width="9.140625" style="183"/>
  </cols>
  <sheetData>
    <row r="1" spans="1:22" x14ac:dyDescent="0.35">
      <c r="A1" s="265" t="s">
        <v>181</v>
      </c>
      <c r="B1" s="265"/>
      <c r="C1" s="265"/>
      <c r="D1" s="265"/>
    </row>
    <row r="2" spans="1:22" x14ac:dyDescent="0.35">
      <c r="A2" s="265" t="s">
        <v>182</v>
      </c>
      <c r="B2" s="265"/>
      <c r="C2" s="265"/>
      <c r="D2" s="265"/>
    </row>
    <row r="3" spans="1:22" x14ac:dyDescent="0.35">
      <c r="A3" s="266" t="s">
        <v>183</v>
      </c>
      <c r="B3" s="266"/>
      <c r="C3" s="266"/>
      <c r="D3" s="266"/>
    </row>
    <row r="4" spans="1:22" x14ac:dyDescent="0.35">
      <c r="A4" s="41" t="s">
        <v>56</v>
      </c>
      <c r="B4" s="205" t="s">
        <v>57</v>
      </c>
      <c r="C4" s="205" t="s">
        <v>96</v>
      </c>
      <c r="D4" s="206" t="s">
        <v>97</v>
      </c>
    </row>
    <row r="5" spans="1:22" x14ac:dyDescent="0.35">
      <c r="A5" s="34" t="s">
        <v>58</v>
      </c>
      <c r="B5" s="28"/>
      <c r="C5" s="28"/>
      <c r="D5" s="207"/>
    </row>
    <row r="6" spans="1:22" x14ac:dyDescent="0.35">
      <c r="A6" s="208" t="s">
        <v>59</v>
      </c>
      <c r="B6" s="209"/>
      <c r="C6" s="209"/>
      <c r="D6" s="210">
        <f>SUM(C7:C10)</f>
        <v>44281.2</v>
      </c>
    </row>
    <row r="7" spans="1:22" x14ac:dyDescent="0.35">
      <c r="A7" s="208" t="s">
        <v>60</v>
      </c>
      <c r="B7" s="209"/>
      <c r="C7" s="211">
        <v>11387.8</v>
      </c>
      <c r="D7" s="210"/>
      <c r="K7" s="187"/>
    </row>
    <row r="8" spans="1:22" x14ac:dyDescent="0.35">
      <c r="A8" s="208" t="s">
        <v>61</v>
      </c>
      <c r="B8" s="209"/>
      <c r="C8" s="211">
        <v>13132.25</v>
      </c>
      <c r="D8" s="210"/>
      <c r="K8" s="187"/>
    </row>
    <row r="9" spans="1:22" x14ac:dyDescent="0.35">
      <c r="A9" s="208" t="s">
        <v>62</v>
      </c>
      <c r="B9" s="209"/>
      <c r="C9" s="211">
        <v>7824.35</v>
      </c>
      <c r="D9" s="210"/>
      <c r="K9" s="187"/>
    </row>
    <row r="10" spans="1:22" x14ac:dyDescent="0.35">
      <c r="A10" s="184" t="s">
        <v>63</v>
      </c>
      <c r="B10" s="185"/>
      <c r="C10" s="211">
        <v>11936.8</v>
      </c>
      <c r="D10" s="186"/>
      <c r="K10" s="187"/>
    </row>
    <row r="11" spans="1:22" x14ac:dyDescent="0.35">
      <c r="A11" s="184" t="s">
        <v>120</v>
      </c>
      <c r="B11" s="185"/>
      <c r="C11" s="185"/>
      <c r="D11" s="186">
        <v>0</v>
      </c>
    </row>
    <row r="12" spans="1:22" x14ac:dyDescent="0.35">
      <c r="A12" s="184" t="s">
        <v>65</v>
      </c>
      <c r="B12" s="185"/>
      <c r="C12" s="185"/>
      <c r="D12" s="186"/>
      <c r="T12" s="188"/>
      <c r="V12" s="188"/>
    </row>
    <row r="13" spans="1:22" x14ac:dyDescent="0.35">
      <c r="A13" s="184" t="s">
        <v>66</v>
      </c>
      <c r="B13" s="185"/>
      <c r="C13" s="185"/>
      <c r="D13" s="212">
        <f>WeeklyIncome[[#Totals],[RENT]]</f>
        <v>0</v>
      </c>
    </row>
    <row r="14" spans="1:22" x14ac:dyDescent="0.35">
      <c r="A14" s="208" t="s">
        <v>162</v>
      </c>
      <c r="B14" s="209"/>
      <c r="C14" s="209"/>
      <c r="D14" s="210">
        <f>HerritageFunds[[#Totals],[AMOUNT]]</f>
        <v>4800</v>
      </c>
    </row>
    <row r="15" spans="1:22" x14ac:dyDescent="0.35">
      <c r="A15" s="208" t="str">
        <f>WeeklyIncome[[#Headers],[TITHE]]</f>
        <v>TITHE</v>
      </c>
      <c r="B15" s="209"/>
      <c r="C15" s="209"/>
      <c r="D15" s="212">
        <f>WeeklyIncome[[#Totals],[TITHE]]</f>
        <v>1589</v>
      </c>
    </row>
    <row r="16" spans="1:22" x14ac:dyDescent="0.35">
      <c r="A16" s="208" t="str">
        <f>WeeklyIncome[[#Headers],[SYSTEMATIC OFFERING]]</f>
        <v>SYSTEMATIC OFFERING</v>
      </c>
      <c r="B16" s="209"/>
      <c r="C16" s="209"/>
      <c r="D16" s="212">
        <f>WeeklyIncome[[#Totals],[SYSTEMATIC OFFERING]]</f>
        <v>678</v>
      </c>
    </row>
    <row r="17" spans="1:7" x14ac:dyDescent="0.35">
      <c r="A17" s="208" t="str">
        <f>WeeklyIncome[[#Headers],[THANKS OFFERING]]</f>
        <v>THANKS OFFERING</v>
      </c>
      <c r="B17" s="209"/>
      <c r="C17" s="209"/>
      <c r="D17" s="212">
        <f>WeeklyIncome[[#Totals],[THANKS OFFERING]]</f>
        <v>155</v>
      </c>
    </row>
    <row r="18" spans="1:7" x14ac:dyDescent="0.35">
      <c r="A18" s="208" t="str">
        <f>WeeklyIncome[[#Headers],[LOOSE OFFERING]]</f>
        <v>LOOSE OFFERING</v>
      </c>
      <c r="B18" s="209"/>
      <c r="C18" s="209"/>
      <c r="D18" s="212">
        <f>WeeklyIncome[[#Totals],[LOOSE OFFERING]]</f>
        <v>224.5</v>
      </c>
    </row>
    <row r="19" spans="1:7" x14ac:dyDescent="0.35">
      <c r="A19" s="208" t="str">
        <f>WeeklyIncome[[#Headers],[EXPENSES OFFERING]]</f>
        <v>EXPENSES OFFERING</v>
      </c>
      <c r="B19" s="209"/>
      <c r="C19" s="209"/>
      <c r="D19" s="212">
        <f>WeeklyIncome[[#Totals],[EXPENSES OFFERING]]</f>
        <v>574.1</v>
      </c>
    </row>
    <row r="20" spans="1:7" x14ac:dyDescent="0.35">
      <c r="A20" s="208" t="str">
        <f>WeeklyIncome[[#Headers],[WELFARE DUES]]</f>
        <v>WELFARE DUES</v>
      </c>
      <c r="B20" s="209"/>
      <c r="C20" s="209"/>
      <c r="D20" s="212">
        <f>WeeklyIncome[[#Totals],[WELFARE DUES]]</f>
        <v>532</v>
      </c>
    </row>
    <row r="21" spans="1:7" x14ac:dyDescent="0.35">
      <c r="A21" s="208" t="str">
        <f>WeeklyIncome[[#Headers],[HARVEST]]</f>
        <v>HARVEST</v>
      </c>
      <c r="B21" s="209"/>
      <c r="C21" s="209"/>
      <c r="D21" s="212">
        <f>WeeklyIncome[[#Totals],[HARVEST]]</f>
        <v>0</v>
      </c>
      <c r="E21" s="175"/>
      <c r="F21" s="175"/>
      <c r="G21" s="175"/>
    </row>
    <row r="22" spans="1:7" x14ac:dyDescent="0.35">
      <c r="A22" s="208" t="str">
        <f>WeeklyIncome[[#Headers],[SELLING OF TREES]]</f>
        <v>SELLING OF TREES</v>
      </c>
      <c r="B22" s="209"/>
      <c r="C22" s="209"/>
      <c r="D22" s="212">
        <f>WeeklyIncome[[#Totals],[SELLING OF TREES]]</f>
        <v>0</v>
      </c>
      <c r="E22" s="175"/>
      <c r="F22" s="175"/>
      <c r="G22" s="175"/>
    </row>
    <row r="23" spans="1:7" x14ac:dyDescent="0.35">
      <c r="A23" s="208" t="str">
        <f>WeeklyIncome[[#Headers],[BIBLE SOCIETY HARVEST]]</f>
        <v>BIBLE SOCIETY HARVEST</v>
      </c>
      <c r="B23" s="209"/>
      <c r="C23" s="209"/>
      <c r="D23" s="212">
        <f>WeeklyIncome[[#Totals],[BIBLE SOCIETY HARVEST]]</f>
        <v>0</v>
      </c>
      <c r="E23" s="175"/>
      <c r="F23" s="175"/>
      <c r="G23" s="175"/>
    </row>
    <row r="24" spans="1:7" x14ac:dyDescent="0.35">
      <c r="A24" s="208" t="str">
        <f>WeeklyIncome[[#Headers],[DONATIONS]]</f>
        <v>DONATIONS</v>
      </c>
      <c r="B24" s="209"/>
      <c r="C24" s="209"/>
      <c r="D24" s="212">
        <f>WeeklyIncome[[#Totals],[DONATIONS]]</f>
        <v>600</v>
      </c>
      <c r="E24" s="175"/>
      <c r="F24" s="175"/>
      <c r="G24" s="175"/>
    </row>
    <row r="25" spans="1:7" x14ac:dyDescent="0.35">
      <c r="A25" s="208" t="str">
        <f>WeeklyIncome[[#Headers],[FUND RAISING / SPECIAL HARVEST]]</f>
        <v>FUND RAISING / SPECIAL HARVEST</v>
      </c>
      <c r="B25" s="209"/>
      <c r="C25" s="209"/>
      <c r="D25" s="212">
        <f>WeeklyIncome[[#Totals],[FUND RAISING / SPECIAL HARVEST]]</f>
        <v>1435</v>
      </c>
      <c r="E25" s="175"/>
      <c r="F25" s="175"/>
      <c r="G25" s="175"/>
    </row>
    <row r="26" spans="1:7" x14ac:dyDescent="0.35">
      <c r="A26" s="208" t="str">
        <f>WeeklyIncome[[#Headers],[CARE FOR THE AGED FUND]]</f>
        <v>CARE FOR THE AGED FUND</v>
      </c>
      <c r="B26" s="209"/>
      <c r="C26" s="209"/>
      <c r="D26" s="212">
        <f>WeeklyIncome[[#Totals],[CARE FOR THE AGED FUND]]</f>
        <v>0</v>
      </c>
      <c r="E26" s="175"/>
      <c r="F26" s="175"/>
      <c r="G26" s="175"/>
    </row>
    <row r="27" spans="1:7" x14ac:dyDescent="0.35">
      <c r="A27" s="208" t="str">
        <f>WeeklyIncome[[#Headers],[ZONAL CONTRIBUTION]]</f>
        <v>ZONAL CONTRIBUTION</v>
      </c>
      <c r="B27" s="209"/>
      <c r="C27" s="209"/>
      <c r="D27" s="212">
        <f>WeeklyIncome[[#Totals],[ZONAL CONTRIBUTION]]</f>
        <v>237</v>
      </c>
      <c r="E27" s="175"/>
      <c r="F27" s="175"/>
      <c r="G27" s="175"/>
    </row>
    <row r="28" spans="1:7" x14ac:dyDescent="0.35">
      <c r="A28" s="208" t="str">
        <f>WeeklyIncome[[#Headers],[LORD''S SUPPER]]</f>
        <v>LORD'S SUPPER</v>
      </c>
      <c r="B28" s="209"/>
      <c r="C28" s="209"/>
      <c r="D28" s="212">
        <f>WeeklyIncome[[#Totals],[LORD''S SUPPER]]</f>
        <v>0</v>
      </c>
    </row>
    <row r="29" spans="1:7" x14ac:dyDescent="0.35">
      <c r="A29" s="208" t="str">
        <f>WeeklyIncome[[#Headers],[AMM HARVEST]]</f>
        <v>AMM HARVEST</v>
      </c>
      <c r="B29" s="209"/>
      <c r="C29" s="209"/>
      <c r="D29" s="212">
        <f>WeeklyIncome[[#Totals],[AMM HARVEST]]</f>
        <v>0</v>
      </c>
    </row>
    <row r="30" spans="1:7" x14ac:dyDescent="0.35">
      <c r="A30" s="208" t="str">
        <f>WeeklyIncome[[#Headers],[HOME COMING]]</f>
        <v>HOME COMING</v>
      </c>
      <c r="B30" s="209"/>
      <c r="C30" s="209"/>
      <c r="D30" s="212">
        <f>WeeklyIncome[[#Totals],[HOME COMING]]</f>
        <v>0</v>
      </c>
    </row>
    <row r="31" spans="1:7" x14ac:dyDescent="0.35">
      <c r="A31" s="208" t="str">
        <f>WeeklyIncome[[#Headers],[CHOIR]]</f>
        <v>CHOIR</v>
      </c>
      <c r="B31" s="209"/>
      <c r="C31" s="209"/>
      <c r="D31" s="212">
        <f>WeeklyIncome[[#Totals],[CHOIR]]</f>
        <v>0</v>
      </c>
    </row>
    <row r="32" spans="1:7" x14ac:dyDescent="0.35">
      <c r="A32" s="208" t="str">
        <f>WeeklyIncome[[#Headers],[CAMP MEETING]]</f>
        <v>CAMP MEETING</v>
      </c>
      <c r="B32" s="209"/>
      <c r="C32" s="209"/>
      <c r="D32" s="212">
        <f>WeeklyIncome[[#Totals],[CAMP MEETING]]</f>
        <v>0</v>
      </c>
    </row>
    <row r="33" spans="1:32" x14ac:dyDescent="0.35">
      <c r="A33" s="208" t="str">
        <f>WeeklyIncome[[#Headers],[SINGING BAND]]</f>
        <v>SINGING BAND</v>
      </c>
      <c r="B33" s="209"/>
      <c r="C33" s="209"/>
      <c r="D33" s="212">
        <f>WeeklyIncome[[#Totals],[SINGING BAND]]</f>
        <v>0</v>
      </c>
      <c r="P33" s="187"/>
      <c r="Q33" s="187"/>
      <c r="R33" s="187"/>
      <c r="S33" s="187"/>
      <c r="T33" s="187"/>
      <c r="U33" s="187"/>
      <c r="V33" s="187"/>
      <c r="W33" s="187"/>
      <c r="X33" s="187"/>
      <c r="Y33" s="187"/>
      <c r="Z33" s="187"/>
      <c r="AA33" s="187"/>
      <c r="AB33" s="187"/>
      <c r="AC33" s="187"/>
      <c r="AD33" s="187"/>
      <c r="AE33" s="187"/>
      <c r="AF33" s="187"/>
    </row>
    <row r="34" spans="1:32" x14ac:dyDescent="0.35">
      <c r="A34" s="208" t="str">
        <f>WeeklyIncome[[#Headers],[NURSERY]]</f>
        <v>NURSERY</v>
      </c>
      <c r="B34" s="209"/>
      <c r="C34" s="209"/>
      <c r="D34" s="212">
        <f>WeeklyIncome[[#Totals],[NURSERY]]</f>
        <v>0</v>
      </c>
    </row>
    <row r="35" spans="1:32" ht="23.25" x14ac:dyDescent="0.5">
      <c r="A35" s="208" t="str">
        <f>WeeklyIncome[[#Headers],[ANNUAL HARVEST]]</f>
        <v>ANNUAL HARVEST</v>
      </c>
      <c r="B35" s="209"/>
      <c r="C35" s="209"/>
      <c r="D35" s="213">
        <f>WeeklyIncome[[#Totals],[ANNUAL HARVEST]]</f>
        <v>0</v>
      </c>
    </row>
    <row r="36" spans="1:32" ht="25.5" x14ac:dyDescent="0.5">
      <c r="A36" s="214" t="s">
        <v>154</v>
      </c>
      <c r="B36" s="209"/>
      <c r="C36" s="209"/>
      <c r="D36" s="215">
        <f>SUBTOTAL(109,D5:D35)</f>
        <v>55105.799999999996</v>
      </c>
    </row>
    <row r="37" spans="1:32" x14ac:dyDescent="0.35">
      <c r="A37" s="34" t="s">
        <v>67</v>
      </c>
      <c r="B37" s="209"/>
      <c r="C37" s="209"/>
      <c r="D37" s="207"/>
    </row>
    <row r="38" spans="1:32" x14ac:dyDescent="0.35">
      <c r="A38" s="34" t="s">
        <v>22</v>
      </c>
      <c r="B38" s="209"/>
      <c r="C38" s="216"/>
      <c r="D38" s="217">
        <f>SUM(C39:C45)</f>
        <v>2012</v>
      </c>
    </row>
    <row r="39" spans="1:32" x14ac:dyDescent="0.35">
      <c r="A39" s="218" t="s">
        <v>0</v>
      </c>
      <c r="B39" s="209"/>
      <c r="C39" s="209">
        <f>D15</f>
        <v>1589</v>
      </c>
      <c r="D39" s="210"/>
    </row>
    <row r="40" spans="1:32" x14ac:dyDescent="0.35">
      <c r="A40" s="218" t="s">
        <v>1</v>
      </c>
      <c r="B40" s="209"/>
      <c r="C40" s="209">
        <f>PRODUCT(D16*0.4)</f>
        <v>271.2</v>
      </c>
      <c r="D40" s="210"/>
    </row>
    <row r="41" spans="1:32" x14ac:dyDescent="0.35">
      <c r="A41" s="218" t="s">
        <v>2</v>
      </c>
      <c r="B41" s="209"/>
      <c r="C41" s="209">
        <f>PRODUCT(D17*0.4)</f>
        <v>62</v>
      </c>
      <c r="D41" s="210"/>
    </row>
    <row r="42" spans="1:32" x14ac:dyDescent="0.35">
      <c r="A42" s="218" t="s">
        <v>3</v>
      </c>
      <c r="B42" s="209"/>
      <c r="C42" s="209">
        <f>PRODUCT(D18*0.4)</f>
        <v>89.800000000000011</v>
      </c>
      <c r="D42" s="219"/>
    </row>
    <row r="43" spans="1:32" x14ac:dyDescent="0.35">
      <c r="A43" s="208" t="s">
        <v>68</v>
      </c>
      <c r="B43" s="209"/>
      <c r="C43" s="209">
        <v>0</v>
      </c>
      <c r="D43" s="210"/>
    </row>
    <row r="44" spans="1:32" x14ac:dyDescent="0.35">
      <c r="A44" s="208" t="s">
        <v>6</v>
      </c>
      <c r="B44" s="209"/>
      <c r="C44" s="209">
        <f>D35*0.1</f>
        <v>0</v>
      </c>
      <c r="D44" s="210"/>
    </row>
    <row r="45" spans="1:32" x14ac:dyDescent="0.35">
      <c r="A45" s="218" t="s">
        <v>28</v>
      </c>
      <c r="B45" s="209"/>
      <c r="C45" s="209">
        <f>D23/3</f>
        <v>0</v>
      </c>
      <c r="D45" s="207"/>
    </row>
    <row r="46" spans="1:32" x14ac:dyDescent="0.35">
      <c r="A46" s="34" t="s">
        <v>23</v>
      </c>
      <c r="B46" s="209"/>
      <c r="C46" s="216"/>
      <c r="D46" s="217">
        <f>SUM(C47:C51)</f>
        <v>105.75</v>
      </c>
    </row>
    <row r="47" spans="1:32" x14ac:dyDescent="0.35">
      <c r="A47" s="218" t="s">
        <v>1</v>
      </c>
      <c r="B47" s="209"/>
      <c r="C47" s="209">
        <f>PRODUCT(D16*0.1)</f>
        <v>67.8</v>
      </c>
      <c r="D47" s="210"/>
    </row>
    <row r="48" spans="1:32" x14ac:dyDescent="0.35">
      <c r="A48" s="218" t="s">
        <v>2</v>
      </c>
      <c r="B48" s="209"/>
      <c r="C48" s="209">
        <f>PRODUCT(D17*0.1)</f>
        <v>15.5</v>
      </c>
      <c r="D48" s="210"/>
    </row>
    <row r="49" spans="1:9" x14ac:dyDescent="0.35">
      <c r="A49" s="218" t="s">
        <v>3</v>
      </c>
      <c r="B49" s="209"/>
      <c r="C49" s="209">
        <f>PRODUCT(D18*0.1)</f>
        <v>22.450000000000003</v>
      </c>
      <c r="D49" s="210"/>
    </row>
    <row r="50" spans="1:9" x14ac:dyDescent="0.35">
      <c r="A50" s="218" t="s">
        <v>6</v>
      </c>
      <c r="B50" s="209"/>
      <c r="C50" s="209">
        <f>D35*0.1</f>
        <v>0</v>
      </c>
      <c r="D50" s="210"/>
    </row>
    <row r="51" spans="1:9" x14ac:dyDescent="0.35">
      <c r="A51" s="218" t="s">
        <v>28</v>
      </c>
      <c r="B51" s="209"/>
      <c r="C51" s="209">
        <f>PRODUCT(D23/3)</f>
        <v>0</v>
      </c>
      <c r="D51" s="207"/>
    </row>
    <row r="52" spans="1:9" x14ac:dyDescent="0.35">
      <c r="A52" s="34" t="s">
        <v>142</v>
      </c>
      <c r="B52" s="209"/>
      <c r="C52" s="209"/>
      <c r="D52" s="220">
        <f>SUM(C53:C77)</f>
        <v>52988.049999999996</v>
      </c>
      <c r="E52" s="189"/>
      <c r="I52" s="188"/>
    </row>
    <row r="53" spans="1:9" x14ac:dyDescent="0.35">
      <c r="A53" s="208" t="s">
        <v>59</v>
      </c>
      <c r="B53" s="209"/>
      <c r="C53" s="209">
        <f>D6</f>
        <v>44281.2</v>
      </c>
      <c r="D53" s="220"/>
      <c r="E53" s="189"/>
      <c r="I53" s="188"/>
    </row>
    <row r="54" spans="1:9" x14ac:dyDescent="0.35">
      <c r="A54" s="208" t="s">
        <v>65</v>
      </c>
      <c r="B54" s="209"/>
      <c r="C54" s="209">
        <f>D12</f>
        <v>0</v>
      </c>
      <c r="D54" s="220"/>
      <c r="E54" s="189"/>
      <c r="I54" s="188"/>
    </row>
    <row r="55" spans="1:9" x14ac:dyDescent="0.35">
      <c r="A55" s="208" t="s">
        <v>66</v>
      </c>
      <c r="B55" s="209"/>
      <c r="C55" s="221">
        <f>WeeklyIncome[[#Totals],[RENT]]</f>
        <v>0</v>
      </c>
      <c r="D55" s="222"/>
    </row>
    <row r="56" spans="1:9" x14ac:dyDescent="0.35">
      <c r="A56" s="208" t="s">
        <v>62</v>
      </c>
      <c r="B56" s="209"/>
      <c r="C56" s="209">
        <f>HerritageFunds[[#Totals],[AMOUNT]]</f>
        <v>4800</v>
      </c>
      <c r="D56" s="222"/>
    </row>
    <row r="57" spans="1:9" x14ac:dyDescent="0.35">
      <c r="A57" s="208" t="str">
        <f>WeeklyIncome[[#Headers],[SYSTEMATIC OFFERING]]</f>
        <v>SYSTEMATIC OFFERING</v>
      </c>
      <c r="B57" s="209"/>
      <c r="C57" s="221">
        <f>PRODUCT(D16*0.5)</f>
        <v>339</v>
      </c>
      <c r="D57" s="222"/>
    </row>
    <row r="58" spans="1:9" x14ac:dyDescent="0.35">
      <c r="A58" s="208" t="str">
        <f>WeeklyIncome[[#Headers],[THANKS OFFERING]]</f>
        <v>THANKS OFFERING</v>
      </c>
      <c r="B58" s="209"/>
      <c r="C58" s="221">
        <f t="shared" ref="C58:C59" si="0">PRODUCT(D17*0.5)</f>
        <v>77.5</v>
      </c>
      <c r="D58" s="222"/>
    </row>
    <row r="59" spans="1:9" x14ac:dyDescent="0.35">
      <c r="A59" s="208" t="str">
        <f>WeeklyIncome[[#Headers],[LOOSE OFFERING]]</f>
        <v>LOOSE OFFERING</v>
      </c>
      <c r="B59" s="209"/>
      <c r="C59" s="221">
        <f t="shared" si="0"/>
        <v>112.25</v>
      </c>
      <c r="D59" s="222"/>
    </row>
    <row r="60" spans="1:9" x14ac:dyDescent="0.35">
      <c r="A60" s="208" t="str">
        <f>WeeklyIncome[[#Headers],[EXPENSES OFFERING]]</f>
        <v>EXPENSES OFFERING</v>
      </c>
      <c r="B60" s="209"/>
      <c r="C60" s="221">
        <f>WeeklyIncome[[#Totals],[EXPENSES OFFERING]]</f>
        <v>574.1</v>
      </c>
      <c r="D60" s="222"/>
    </row>
    <row r="61" spans="1:9" x14ac:dyDescent="0.35">
      <c r="A61" s="208" t="str">
        <f>WeeklyIncome[[#Headers],[WELFARE DUES]]</f>
        <v>WELFARE DUES</v>
      </c>
      <c r="B61" s="209"/>
      <c r="C61" s="221">
        <f>WeeklyIncome[[#Totals],[WELFARE DUES]]</f>
        <v>532</v>
      </c>
      <c r="D61" s="222"/>
    </row>
    <row r="62" spans="1:9" x14ac:dyDescent="0.35">
      <c r="A62" s="208" t="str">
        <f>WeeklyIncome[[#Headers],[HARVEST]]</f>
        <v>HARVEST</v>
      </c>
      <c r="B62" s="209"/>
      <c r="C62" s="221">
        <f>WeeklyIncome[[#Totals],[HARVEST]]</f>
        <v>0</v>
      </c>
      <c r="D62" s="222"/>
    </row>
    <row r="63" spans="1:9" x14ac:dyDescent="0.35">
      <c r="A63" s="208" t="str">
        <f>WeeklyIncome[[#Headers],[SELLING OF TREES]]</f>
        <v>SELLING OF TREES</v>
      </c>
      <c r="B63" s="209"/>
      <c r="C63" s="221">
        <f>WeeklyIncome[[#Totals],[SELLING OF TREES]]</f>
        <v>0</v>
      </c>
      <c r="D63" s="222"/>
    </row>
    <row r="64" spans="1:9" x14ac:dyDescent="0.35">
      <c r="A64" s="208" t="str">
        <f>WeeklyIncome[[#Headers],[BIBLE SOCIETY HARVEST]]</f>
        <v>BIBLE SOCIETY HARVEST</v>
      </c>
      <c r="B64" s="209"/>
      <c r="C64" s="209">
        <f>PRODUCT(D23/3)</f>
        <v>0</v>
      </c>
      <c r="D64" s="222"/>
    </row>
    <row r="65" spans="1:13" x14ac:dyDescent="0.35">
      <c r="A65" s="208" t="str">
        <f>WeeklyIncome[[#Headers],[DONATIONS]]</f>
        <v>DONATIONS</v>
      </c>
      <c r="B65" s="209"/>
      <c r="C65" s="221">
        <f>WeeklyIncome[[#Totals],[DONATIONS]]</f>
        <v>600</v>
      </c>
      <c r="D65" s="222"/>
    </row>
    <row r="66" spans="1:13" x14ac:dyDescent="0.35">
      <c r="A66" s="208" t="str">
        <f>WeeklyIncome[[#Headers],[FUND RAISING / SPECIAL HARVEST]]</f>
        <v>FUND RAISING / SPECIAL HARVEST</v>
      </c>
      <c r="B66" s="209"/>
      <c r="C66" s="221">
        <f>WeeklyIncome[[#Totals],[FUND RAISING / SPECIAL HARVEST]]</f>
        <v>1435</v>
      </c>
      <c r="D66" s="222"/>
    </row>
    <row r="67" spans="1:13" x14ac:dyDescent="0.35">
      <c r="A67" s="208" t="str">
        <f>WeeklyIncome[[#Headers],[ZONAL CONTRIBUTION]]</f>
        <v>ZONAL CONTRIBUTION</v>
      </c>
      <c r="B67" s="209"/>
      <c r="C67" s="221">
        <f>WeeklyIncome[[#Totals],[ZONAL CONTRIBUTION]]</f>
        <v>237</v>
      </c>
      <c r="D67" s="222"/>
    </row>
    <row r="68" spans="1:13" x14ac:dyDescent="0.35">
      <c r="A68" s="208" t="str">
        <f>WeeklyIncome[[#Headers],[LORD''S SUPPER]]</f>
        <v>LORD'S SUPPER</v>
      </c>
      <c r="B68" s="209"/>
      <c r="C68" s="221">
        <f>WeeklyIncome[[#Totals],[LORD''S SUPPER]]</f>
        <v>0</v>
      </c>
      <c r="D68" s="222"/>
    </row>
    <row r="69" spans="1:13" x14ac:dyDescent="0.35">
      <c r="A69" s="208" t="str">
        <f>WeeklyIncome[[#Headers],[AMM HARVEST]]</f>
        <v>AMM HARVEST</v>
      </c>
      <c r="B69" s="209"/>
      <c r="C69" s="221">
        <f>WeeklyIncome[[#Totals],[AMM HARVEST]]</f>
        <v>0</v>
      </c>
      <c r="D69" s="222"/>
    </row>
    <row r="70" spans="1:13" x14ac:dyDescent="0.35">
      <c r="A70" s="208" t="str">
        <f>WeeklyIncome[[#Headers],[HOME COMING]]</f>
        <v>HOME COMING</v>
      </c>
      <c r="B70" s="209"/>
      <c r="C70" s="221">
        <f>WeeklyIncome[[#Totals],[HOME COMING]]</f>
        <v>0</v>
      </c>
      <c r="D70" s="222"/>
    </row>
    <row r="71" spans="1:13" x14ac:dyDescent="0.35">
      <c r="A71" s="208" t="str">
        <f>WeeklyIncome[[#Headers],[CARE FOR THE AGED FUND]]</f>
        <v>CARE FOR THE AGED FUND</v>
      </c>
      <c r="B71" s="209"/>
      <c r="C71" s="221">
        <f>WeeklyIncome[[#Totals],[CARE FOR THE AGED FUND]]</f>
        <v>0</v>
      </c>
      <c r="D71" s="222"/>
    </row>
    <row r="72" spans="1:13" x14ac:dyDescent="0.35">
      <c r="A72" s="208" t="str">
        <f>WeeklyIncome[[#Headers],[CAMP MEETING]]</f>
        <v>CAMP MEETING</v>
      </c>
      <c r="B72" s="209"/>
      <c r="C72" s="221">
        <f>WeeklyIncome[[#Totals],[CAMP MEETING]]</f>
        <v>0</v>
      </c>
      <c r="D72" s="222"/>
      <c r="I72" s="175"/>
      <c r="J72" s="175"/>
      <c r="K72" s="175"/>
      <c r="L72" s="175"/>
      <c r="M72" s="188"/>
    </row>
    <row r="73" spans="1:13" x14ac:dyDescent="0.35">
      <c r="A73" s="208" t="str">
        <f>WeeklyIncome[[#Headers],[SINGING BAND]]</f>
        <v>SINGING BAND</v>
      </c>
      <c r="B73" s="209"/>
      <c r="C73" s="212">
        <f>WeeklyIncome[[#Totals],[SINGING BAND]]</f>
        <v>0</v>
      </c>
      <c r="D73" s="229"/>
      <c r="I73" s="175"/>
      <c r="J73" s="175"/>
      <c r="K73" s="175"/>
      <c r="L73" s="175"/>
      <c r="M73" s="188"/>
    </row>
    <row r="74" spans="1:13" x14ac:dyDescent="0.35">
      <c r="A74" s="208" t="str">
        <f>WeeklyIncome[[#Headers],[CHOIR]]</f>
        <v>CHOIR</v>
      </c>
      <c r="B74" s="209"/>
      <c r="C74" s="221">
        <f>WeeklyIncome[[#Totals],[CHOIR]]</f>
        <v>0</v>
      </c>
      <c r="D74" s="222"/>
      <c r="I74" s="175"/>
      <c r="J74" s="175"/>
      <c r="K74" s="175"/>
      <c r="L74" s="175"/>
      <c r="M74" s="188"/>
    </row>
    <row r="75" spans="1:13" x14ac:dyDescent="0.35">
      <c r="A75" s="208" t="str">
        <f>WeeklyIncome[[#Headers],[WOMEN MINISTRY HARVEST]]</f>
        <v>WOMEN MINISTRY HARVEST</v>
      </c>
      <c r="B75" s="209"/>
      <c r="C75" s="221">
        <f>WeeklyIncome[[#Totals],[WOMEN MINISTRY HARVEST]]</f>
        <v>0</v>
      </c>
      <c r="D75" s="222"/>
      <c r="I75" s="175"/>
      <c r="J75" s="175"/>
      <c r="K75" s="175"/>
      <c r="L75" s="175"/>
    </row>
    <row r="76" spans="1:13" x14ac:dyDescent="0.35">
      <c r="A76" s="208" t="str">
        <f>WeeklyIncome[[#Headers],[NURSERY]]</f>
        <v>NURSERY</v>
      </c>
      <c r="B76" s="209"/>
      <c r="C76" s="221">
        <f>WeeklyIncome[[#Totals],[NURSERY]]</f>
        <v>0</v>
      </c>
      <c r="D76" s="222"/>
      <c r="I76" s="175"/>
      <c r="J76" s="175"/>
      <c r="K76" s="175"/>
      <c r="L76" s="175"/>
    </row>
    <row r="77" spans="1:13" ht="21" customHeight="1" x14ac:dyDescent="0.5">
      <c r="A77" s="208" t="str">
        <f>WeeklyIncome[[#Headers],[ANNUAL HARVEST]]</f>
        <v>ANNUAL HARVEST</v>
      </c>
      <c r="B77" s="209"/>
      <c r="C77" s="223">
        <f>PRODUCT(D35*0.8)</f>
        <v>0</v>
      </c>
      <c r="D77" s="207"/>
      <c r="I77" s="175"/>
      <c r="J77" s="175"/>
      <c r="K77" s="175"/>
      <c r="L77" s="175"/>
    </row>
    <row r="78" spans="1:13" ht="28.5" x14ac:dyDescent="0.55000000000000004">
      <c r="A78" s="224" t="s">
        <v>155</v>
      </c>
      <c r="B78" s="209"/>
      <c r="C78" s="223"/>
      <c r="D78" s="225">
        <f>SUM(D52,D46,D38)</f>
        <v>55105.799999999996</v>
      </c>
      <c r="I78" s="175"/>
      <c r="J78" s="175"/>
      <c r="K78" s="175"/>
      <c r="L78" s="175"/>
    </row>
    <row r="79" spans="1:13" ht="27.75" x14ac:dyDescent="0.5">
      <c r="A79" s="208"/>
      <c r="B79" s="209"/>
      <c r="C79" s="223"/>
      <c r="D79" s="226"/>
      <c r="I79" s="175"/>
      <c r="J79" s="175"/>
      <c r="K79" s="175"/>
      <c r="L79" s="175"/>
    </row>
    <row r="80" spans="1:13" ht="23.25" x14ac:dyDescent="0.5">
      <c r="A80" s="227" t="s">
        <v>143</v>
      </c>
      <c r="B80" s="209"/>
      <c r="C80" s="223"/>
      <c r="D80" s="222"/>
      <c r="I80" s="175"/>
      <c r="J80" s="175"/>
      <c r="K80" s="175"/>
      <c r="L80" s="175"/>
    </row>
    <row r="81" spans="1:12" ht="23.25" x14ac:dyDescent="0.5">
      <c r="A81" s="208" t="s">
        <v>156</v>
      </c>
      <c r="B81" s="209"/>
      <c r="C81" s="228"/>
      <c r="D81" s="222"/>
      <c r="I81" s="175"/>
      <c r="J81" s="175"/>
      <c r="K81" s="175"/>
      <c r="L81" s="175"/>
    </row>
    <row r="82" spans="1:12" ht="23.25" x14ac:dyDescent="0.5">
      <c r="A82" s="208" t="s">
        <v>158</v>
      </c>
      <c r="B82" s="209"/>
      <c r="C82" s="228"/>
      <c r="D82" s="229">
        <f>D38+WeeklyExpenditure[[#Totals],[CONFERENCE FUND]]</f>
        <v>2012</v>
      </c>
    </row>
    <row r="83" spans="1:12" s="175" customFormat="1" ht="23.25" x14ac:dyDescent="0.5">
      <c r="A83" s="208" t="s">
        <v>159</v>
      </c>
      <c r="B83" s="209"/>
      <c r="C83" s="228"/>
      <c r="D83" s="229">
        <f>D46+WeeklyExpenditure[[#Totals],[DISTRICT FUND]]</f>
        <v>105.75</v>
      </c>
    </row>
    <row r="84" spans="1:12" ht="28.5" x14ac:dyDescent="0.55000000000000004">
      <c r="A84" s="230" t="s">
        <v>7</v>
      </c>
      <c r="B84" s="231"/>
      <c r="C84" s="232"/>
      <c r="D84" s="233">
        <f>SUM(D82:D83)</f>
        <v>2117.75</v>
      </c>
    </row>
    <row r="85" spans="1:12" x14ac:dyDescent="0.35">
      <c r="A85"/>
      <c r="B85"/>
      <c r="C85"/>
      <c r="D85"/>
    </row>
    <row r="86" spans="1:12" x14ac:dyDescent="0.35">
      <c r="A86" t="s">
        <v>157</v>
      </c>
      <c r="B86" s="234" t="s">
        <v>57</v>
      </c>
      <c r="C86" s="235" t="s">
        <v>96</v>
      </c>
      <c r="D86" s="206" t="s">
        <v>97</v>
      </c>
      <c r="J86" s="190"/>
    </row>
    <row r="87" spans="1:12" ht="24.75" customHeight="1" x14ac:dyDescent="0.5">
      <c r="A87" s="236" t="s">
        <v>110</v>
      </c>
      <c r="B87" s="209"/>
      <c r="C87" s="228"/>
      <c r="D87" s="222"/>
      <c r="J87" s="190"/>
    </row>
    <row r="88" spans="1:12" ht="23.25" x14ac:dyDescent="0.5">
      <c r="A88" s="34" t="s">
        <v>142</v>
      </c>
      <c r="B88" s="209"/>
      <c r="C88" s="228"/>
      <c r="D88" s="220">
        <f>D52</f>
        <v>52988.049999999996</v>
      </c>
    </row>
    <row r="89" spans="1:12" ht="23.25" x14ac:dyDescent="0.5">
      <c r="A89" s="34" t="s">
        <v>153</v>
      </c>
      <c r="B89" s="209"/>
      <c r="C89" s="228"/>
      <c r="D89" s="220">
        <f>SUM(C90:C125)</f>
        <v>2416</v>
      </c>
    </row>
    <row r="90" spans="1:12" x14ac:dyDescent="0.35">
      <c r="A90" s="208" t="str">
        <f>WeeklyExpenditure[[#Headers],[FOOD, WATER AND DRINKS]]</f>
        <v>FOOD, WATER AND DRINKS</v>
      </c>
      <c r="B90" s="209"/>
      <c r="C90" s="221">
        <f>WeeklyExpenditure[[#Totals],[FOOD, WATER AND DRINKS]]</f>
        <v>353</v>
      </c>
      <c r="D90" s="207"/>
    </row>
    <row r="91" spans="1:12" x14ac:dyDescent="0.35">
      <c r="A91" s="208" t="str">
        <f>WeeklyExpenditure[[#Headers],[COVID 19  ITEMS]]</f>
        <v>COVID 19  ITEMS</v>
      </c>
      <c r="B91" s="209"/>
      <c r="C91" s="221">
        <f>WeeklyExpenditure[[#Totals],[COVID 19  ITEMS]]</f>
        <v>110</v>
      </c>
      <c r="D91" s="207"/>
    </row>
    <row r="92" spans="1:12" s="191" customFormat="1" ht="23.25" customHeight="1" x14ac:dyDescent="0.4">
      <c r="A92" s="208" t="str">
        <f>WeeklyExpenditure[[#Headers],[TRANSPORTATION]]</f>
        <v>TRANSPORTATION</v>
      </c>
      <c r="B92" s="209"/>
      <c r="C92" s="221">
        <f>WeeklyExpenditure[[#Totals],[TRANSPORTATION]]</f>
        <v>20</v>
      </c>
      <c r="D92" s="207"/>
    </row>
    <row r="93" spans="1:12" x14ac:dyDescent="0.35">
      <c r="A93" s="208" t="str">
        <f>WeeklyExpenditure[[#Headers],[DONATION]]</f>
        <v>DONATION</v>
      </c>
      <c r="B93" s="209"/>
      <c r="C93" s="221">
        <f>WeeklyExpenditure[[#Totals],[DONATION]]</f>
        <v>150</v>
      </c>
      <c r="D93" s="207"/>
    </row>
    <row r="94" spans="1:12" x14ac:dyDescent="0.35">
      <c r="A94" s="208" t="str">
        <f>WeeklyExpenditure[[#Headers],[PRINTING &amp; BOOKS]]</f>
        <v>PRINTING &amp; BOOKS</v>
      </c>
      <c r="B94" s="209"/>
      <c r="C94" s="221">
        <f>WeeklyExpenditure[[#Totals],[PRINTING &amp; BOOKS]]</f>
        <v>150</v>
      </c>
      <c r="D94" s="207"/>
    </row>
    <row r="95" spans="1:12" x14ac:dyDescent="0.35">
      <c r="A95" s="208" t="str">
        <f>WeeklyExpenditure[[#Headers],[NURSERY]]</f>
        <v>NURSERY</v>
      </c>
      <c r="B95" s="209"/>
      <c r="C95" s="221">
        <f>WeeklyExpenditure[[#Totals],[NURSERY]]</f>
        <v>0</v>
      </c>
      <c r="D95" s="207"/>
    </row>
    <row r="96" spans="1:12" x14ac:dyDescent="0.35">
      <c r="A96" s="208" t="str">
        <f>WeeklyExpenditure[[#Headers],[SABBATH SCHOOL]]</f>
        <v>SABBATH SCHOOL</v>
      </c>
      <c r="B96" s="209"/>
      <c r="C96" s="221">
        <f>WeeklyExpenditure[[#Totals],[SABBATH SCHOOL]]</f>
        <v>0</v>
      </c>
      <c r="D96" s="207"/>
    </row>
    <row r="97" spans="1:4" x14ac:dyDescent="0.35">
      <c r="A97" s="208" t="str">
        <f>WeeklyExpenditure[[#Headers],[RENOVATION TEACHERS BUNGALOW]]</f>
        <v>RENOVATION TEACHERS BUNGALOW</v>
      </c>
      <c r="B97" s="209"/>
      <c r="C97" s="221">
        <f>WeeklyExpenditure[[#Totals],[RENOVATION TEACHERS BUNGALOW]]</f>
        <v>0</v>
      </c>
      <c r="D97" s="207"/>
    </row>
    <row r="98" spans="1:4" x14ac:dyDescent="0.35">
      <c r="A98" s="208" t="str">
        <f>WeeklyExpenditure[[#Headers],[MECHANISED WATER PROJECT]]</f>
        <v>MECHANISED WATER PROJECT</v>
      </c>
      <c r="B98" s="209"/>
      <c r="C98" s="221">
        <f>WeeklyExpenditure[[#Totals],[MECHANISED WATER PROJECT]]</f>
        <v>0</v>
      </c>
      <c r="D98" s="207"/>
    </row>
    <row r="99" spans="1:4" x14ac:dyDescent="0.35">
      <c r="A99" s="208" t="str">
        <f>WeeklyExpenditure[[#Headers],[WAGES (NURSERY)]]</f>
        <v>WAGES (NURSERY)</v>
      </c>
      <c r="B99" s="209"/>
      <c r="C99" s="221">
        <f>WeeklyExpenditure[[#Totals],[WAGES (NURSERY)]]</f>
        <v>0</v>
      </c>
      <c r="D99" s="207"/>
    </row>
    <row r="100" spans="1:4" x14ac:dyDescent="0.35">
      <c r="A100" s="208" t="str">
        <f>WeeklyExpenditure[[#Headers],[BEAUTIFICATION OF CHURCH &amp; SCHOOL COMPOUND]]</f>
        <v>BEAUTIFICATION OF CHURCH &amp; SCHOOL COMPOUND</v>
      </c>
      <c r="B100" s="209"/>
      <c r="C100" s="221">
        <f>WeeklyExpenditure[[#Totals],[BEAUTIFICATION OF CHURCH &amp; SCHOOL COMPOUND]]</f>
        <v>0</v>
      </c>
      <c r="D100" s="207"/>
    </row>
    <row r="101" spans="1:4" x14ac:dyDescent="0.35">
      <c r="A101" s="208" t="str">
        <f>WeeklyExpenditure[[#Headers],[AYS (T&amp;T, Others)]]</f>
        <v>AYS (T&amp;T, Others)</v>
      </c>
      <c r="B101" s="209"/>
      <c r="C101" s="221">
        <f>WeeklyExpenditure[[#Totals],[AYS (T&amp;T, Others)]]</f>
        <v>0</v>
      </c>
      <c r="D101" s="207"/>
    </row>
    <row r="102" spans="1:4" x14ac:dyDescent="0.35">
      <c r="A102" s="208" t="str">
        <f>WeeklyExpenditure[[#Headers],[CHOIR (T&amp;T, Others]]</f>
        <v>CHOIR (T&amp;T, Others</v>
      </c>
      <c r="B102" s="209"/>
      <c r="C102" s="221">
        <f>WeeklyExpenditure[[#Totals],[CHOIR (T&amp;T, Others]]</f>
        <v>0</v>
      </c>
      <c r="D102" s="207"/>
    </row>
    <row r="103" spans="1:4" x14ac:dyDescent="0.35">
      <c r="A103" s="208" t="str">
        <f>WeeklyExpenditure[[#Headers],[SINGING BAND (T&amp;T, Others)]]</f>
        <v>SINGING BAND (T&amp;T, Others)</v>
      </c>
      <c r="B103" s="209"/>
      <c r="C103" s="221">
        <f>WeeklyExpenditure[[#Totals],[SINGING BAND (T&amp;T, Others)]]</f>
        <v>0</v>
      </c>
      <c r="D103" s="207"/>
    </row>
    <row r="104" spans="1:4" x14ac:dyDescent="0.35">
      <c r="A104" s="208" t="str">
        <f>WeeklyExpenditure[[#Headers],[AMM (T&amp;T, Others)]]</f>
        <v>AMM (T&amp;T, Others)</v>
      </c>
      <c r="B104" s="209"/>
      <c r="C104" s="221">
        <f>WeeklyExpenditure[[#Totals],[AMM (T&amp;T, Others)]]</f>
        <v>0</v>
      </c>
      <c r="D104" s="207"/>
    </row>
    <row r="105" spans="1:4" x14ac:dyDescent="0.35">
      <c r="A105" s="208" t="str">
        <f>WeeklyExpenditure[[#Headers],[WOMEN MINSTRY (T&amp;T, Others]]</f>
        <v>WOMEN MINSTRY (T&amp;T, Others</v>
      </c>
      <c r="B105" s="209"/>
      <c r="C105" s="221">
        <f>WeeklyExpenditure[[#Totals],[WOMEN MINSTRY (T&amp;T, Others]]</f>
        <v>110</v>
      </c>
      <c r="D105" s="207"/>
    </row>
    <row r="106" spans="1:4" x14ac:dyDescent="0.35">
      <c r="A106" s="34" t="s">
        <v>69</v>
      </c>
      <c r="B106" s="28"/>
      <c r="C106" s="209">
        <f>SUM(B107:B108)</f>
        <v>1418</v>
      </c>
      <c r="D106" s="207"/>
    </row>
    <row r="107" spans="1:4" x14ac:dyDescent="0.35">
      <c r="A107" s="218" t="str">
        <f>WeeklyExpenditure[[#Headers],[WELFARE FUNERAL DONATIONS]]</f>
        <v>WELFARE FUNERAL DONATIONS</v>
      </c>
      <c r="B107" s="237">
        <f>WeeklyExpenditure[[#Totals],[WELFARE FUNERAL DONATIONS]]</f>
        <v>1368</v>
      </c>
      <c r="C107" s="209"/>
      <c r="D107" s="207"/>
    </row>
    <row r="108" spans="1:4" x14ac:dyDescent="0.35">
      <c r="A108" s="218" t="str">
        <f>WeeklyExpenditure[[#Headers],[WELFARE OTHER DONATIONS (MARRIAGE, ETC)]]</f>
        <v>WELFARE OTHER DONATIONS (MARRIAGE, ETC)</v>
      </c>
      <c r="B108" s="237">
        <f>WeeklyExpenditure[[#Totals],[WELFARE OTHER DONATIONS (MARRIAGE, ETC)]]</f>
        <v>50</v>
      </c>
      <c r="C108" s="209"/>
      <c r="D108" s="207"/>
    </row>
    <row r="109" spans="1:4" x14ac:dyDescent="0.35">
      <c r="A109" s="208" t="str">
        <f>WeeklyExpenditure[[#Headers],[PROJECTOR]]</f>
        <v>PROJECTOR</v>
      </c>
      <c r="B109" s="216"/>
      <c r="C109" s="221">
        <f>WeeklyExpenditure[[#Totals],[PROJECTOR]]</f>
        <v>0</v>
      </c>
      <c r="D109" s="222"/>
    </row>
    <row r="110" spans="1:4" x14ac:dyDescent="0.35">
      <c r="A110" s="208" t="str">
        <f>WeeklyExpenditure[[#Headers],[MAITENANCE / REPAIRS]]</f>
        <v>MAITENANCE / REPAIRS</v>
      </c>
      <c r="B110" s="209"/>
      <c r="C110" s="221">
        <f>WeeklyExpenditure[[#Totals],[MAITENANCE / REPAIRS]]</f>
        <v>0</v>
      </c>
      <c r="D110" s="207"/>
    </row>
    <row r="111" spans="1:4" x14ac:dyDescent="0.35">
      <c r="A111" s="208" t="str">
        <f>WeeklyExpenditure[[#Headers],[LORD''S SUPPER]]</f>
        <v>LORD'S SUPPER</v>
      </c>
      <c r="B111" s="209"/>
      <c r="C111" s="221">
        <f>WeeklyExpenditure[[#Totals],[LORD''S SUPPER]]</f>
        <v>0</v>
      </c>
      <c r="D111" s="207"/>
    </row>
    <row r="112" spans="1:4" x14ac:dyDescent="0.35">
      <c r="A112" s="208" t="str">
        <f>WeeklyExpenditure[[#Headers],[LOAN (REPAYMENT]]</f>
        <v>LOAN (REPAYMENT</v>
      </c>
      <c r="B112" s="209"/>
      <c r="C112" s="221">
        <f>WeeklyExpenditure[[#Totals],[LOAN (REPAYMENT]]</f>
        <v>0</v>
      </c>
      <c r="D112" s="207"/>
    </row>
    <row r="113" spans="1:9" x14ac:dyDescent="0.35">
      <c r="A113" s="208" t="str">
        <f>WeeklyExpenditure[[#Headers],[WASHROOM PROJECT]]</f>
        <v>WASHROOM PROJECT</v>
      </c>
      <c r="B113" s="209"/>
      <c r="C113" s="221">
        <f>WeeklyExpenditure[[#Totals],[WASHROOM PROJECT]]</f>
        <v>0</v>
      </c>
      <c r="D113" s="207"/>
    </row>
    <row r="114" spans="1:9" x14ac:dyDescent="0.35">
      <c r="A114" s="208" t="str">
        <f>WeeklyExpenditure[[#Headers],[HARVEST EXPENDITURE]]</f>
        <v>HARVEST EXPENDITURE</v>
      </c>
      <c r="B114" s="209"/>
      <c r="C114" s="221">
        <f>WeeklyExpenditure[[#Totals],[HARVEST EXPENDITURE]]</f>
        <v>0</v>
      </c>
      <c r="D114" s="207"/>
    </row>
    <row r="115" spans="1:9" x14ac:dyDescent="0.35">
      <c r="A115" s="208" t="str">
        <f>WeeklyExpenditure[[#Headers],[ELECTRICITY]]</f>
        <v>ELECTRICITY</v>
      </c>
      <c r="B115" s="209"/>
      <c r="C115" s="221">
        <f>WeeklyExpenditure[[#Totals],[ELECTRICITY]]</f>
        <v>0</v>
      </c>
      <c r="D115" s="207"/>
    </row>
    <row r="116" spans="1:9" x14ac:dyDescent="0.35">
      <c r="A116" s="208" t="str">
        <f>WeeklyExpenditure[[#Headers],[CAMP MEETING]]</f>
        <v>CAMP MEETING</v>
      </c>
      <c r="B116" s="209"/>
      <c r="C116" s="221">
        <f>WeeklyExpenditure[[#Totals],[CAMP MEETING]]</f>
        <v>0</v>
      </c>
      <c r="D116" s="207"/>
    </row>
    <row r="117" spans="1:9" x14ac:dyDescent="0.35">
      <c r="A117" s="208" t="str">
        <f>WeeklyExpenditure[[#Headers],[POST  OFFICE]]</f>
        <v>POST  OFFICE</v>
      </c>
      <c r="B117" s="209"/>
      <c r="C117" s="221">
        <f>WeeklyExpenditure[[#Totals],[POST  OFFICE]]</f>
        <v>0</v>
      </c>
      <c r="D117" s="207"/>
    </row>
    <row r="118" spans="1:9" x14ac:dyDescent="0.35">
      <c r="A118" s="208" t="str">
        <f>WeeklyExpenditure[[#Headers],[CONFERENCE FUND]]</f>
        <v>CONFERENCE FUND</v>
      </c>
      <c r="B118" s="209"/>
      <c r="C118" s="221">
        <f>WeeklyExpenditure[[#Totals],[CONFERENCE FUND]]</f>
        <v>0</v>
      </c>
      <c r="D118" s="207"/>
    </row>
    <row r="119" spans="1:9" x14ac:dyDescent="0.35">
      <c r="A119" s="208" t="str">
        <f>WeeklyExpenditure[[#Headers],[DISTRICT FUND]]</f>
        <v>DISTRICT FUND</v>
      </c>
      <c r="B119" s="209"/>
      <c r="C119" s="221">
        <f>WeeklyExpenditure[[#Totals],[DISTRICT FUND]]</f>
        <v>0</v>
      </c>
      <c r="D119" s="207"/>
    </row>
    <row r="120" spans="1:9" x14ac:dyDescent="0.35">
      <c r="A120" s="208" t="str">
        <f>WeeklyExpenditure[[#Headers],[HOME COMING]]</f>
        <v>HOME COMING</v>
      </c>
      <c r="B120" s="209"/>
      <c r="C120" s="221">
        <f>WeeklyExpenditure[[#Totals],[HOME COMING]]</f>
        <v>0</v>
      </c>
      <c r="D120" s="207"/>
    </row>
    <row r="121" spans="1:9" x14ac:dyDescent="0.35">
      <c r="A121" s="208" t="str">
        <f>WeeklyExpenditure[[#Headers],[ANNUAL THANKSGIVING/HARVEST]]</f>
        <v>ANNUAL THANKSGIVING/HARVEST</v>
      </c>
      <c r="B121" s="209"/>
      <c r="C121" s="221">
        <f>WeeklyExpenditure[[#Totals],[ANNUAL THANKSGIVING/HARVEST]]</f>
        <v>0</v>
      </c>
      <c r="D121" s="207"/>
    </row>
    <row r="122" spans="1:9" x14ac:dyDescent="0.35">
      <c r="A122" s="208" t="str">
        <f>WeeklyExpenditure[[#Headers],[BANK CHARGES]]</f>
        <v>BANK CHARGES</v>
      </c>
      <c r="B122" s="209"/>
      <c r="C122" s="221">
        <f>WeeklyExpenditure[[#Totals],[BANK CHARGES]]</f>
        <v>0</v>
      </c>
      <c r="D122" s="207"/>
    </row>
    <row r="123" spans="1:9" x14ac:dyDescent="0.35">
      <c r="A123" s="208" t="str">
        <f>WeeklyExpenditure[[#Headers],[TRADITIONAL DAY]]</f>
        <v>TRADITIONAL DAY</v>
      </c>
      <c r="B123" s="209"/>
      <c r="C123" s="221">
        <f>WeeklyExpenditure[[#Totals],[TRADITIONAL DAY]]</f>
        <v>0</v>
      </c>
      <c r="D123" s="207"/>
    </row>
    <row r="124" spans="1:9" x14ac:dyDescent="0.35">
      <c r="A124" s="208" t="str">
        <f>WeeklyExpenditure[[#Headers],[CARE FOR THE AGED &amp; SICK]]</f>
        <v>CARE FOR THE AGED &amp; SICK</v>
      </c>
      <c r="B124" s="209"/>
      <c r="C124" s="221">
        <f>WeeklyExpenditure[[#Totals],[CARE FOR THE AGED &amp; SICK]]</f>
        <v>0</v>
      </c>
      <c r="D124" s="207"/>
    </row>
    <row r="125" spans="1:9" ht="23.25" x14ac:dyDescent="0.5">
      <c r="A125" s="238" t="str">
        <f>WeeklyExpenditure[[#Headers],[MISCELLANEOUS (Soap, Washing Powder, Others)]]</f>
        <v>MISCELLANEOUS (Soap, Washing Powder, Others)</v>
      </c>
      <c r="B125" s="209"/>
      <c r="C125" s="221">
        <f>WeeklyExpenditure[[#Totals],[MISCELLANEOUS (Soap, Washing Powder, Others)]]</f>
        <v>105</v>
      </c>
      <c r="D125" s="239"/>
      <c r="E125" s="175"/>
      <c r="F125" s="175"/>
      <c r="G125" s="175"/>
      <c r="H125" s="175"/>
      <c r="I125" s="175"/>
    </row>
    <row r="126" spans="1:9" ht="28.5" x14ac:dyDescent="0.55000000000000004">
      <c r="A126" s="230" t="str">
        <f>IF(D36&gt;D125,"SURPLUS",IF(D36=D125,"BREAKEVEN",IF(D36&lt;D125,"DEFICIT","")))</f>
        <v>SURPLUS</v>
      </c>
      <c r="B126" s="231"/>
      <c r="C126" s="231"/>
      <c r="D126" s="240">
        <f>SUM(D88-D89)</f>
        <v>50572.049999999996</v>
      </c>
    </row>
    <row r="127" spans="1:9" x14ac:dyDescent="0.35">
      <c r="A127"/>
      <c r="B127"/>
      <c r="C127"/>
      <c r="D127"/>
    </row>
    <row r="128" spans="1:9" x14ac:dyDescent="0.35">
      <c r="A128" s="148" t="s">
        <v>145</v>
      </c>
      <c r="B128" s="269" t="s">
        <v>146</v>
      </c>
      <c r="C128" s="269"/>
      <c r="D128" s="269"/>
    </row>
    <row r="129" spans="1:9" x14ac:dyDescent="0.35">
      <c r="A129" s="149" t="s">
        <v>150</v>
      </c>
      <c r="B129" s="241" t="s">
        <v>147</v>
      </c>
      <c r="C129" s="241" t="s">
        <v>148</v>
      </c>
      <c r="D129" s="241" t="s">
        <v>24</v>
      </c>
      <c r="I129" s="190">
        <f>D142-D126</f>
        <v>45078.82</v>
      </c>
    </row>
    <row r="130" spans="1:9" x14ac:dyDescent="0.35">
      <c r="A130" s="149" t="s">
        <v>0</v>
      </c>
      <c r="B130" s="150">
        <v>1</v>
      </c>
      <c r="C130" s="150">
        <v>0</v>
      </c>
      <c r="D130" s="150">
        <v>0</v>
      </c>
    </row>
    <row r="131" spans="1:9" x14ac:dyDescent="0.35">
      <c r="A131" s="149" t="s">
        <v>1</v>
      </c>
      <c r="B131" s="150">
        <v>0.4</v>
      </c>
      <c r="C131" s="150">
        <v>0.1</v>
      </c>
      <c r="D131" s="150">
        <v>0.5</v>
      </c>
    </row>
    <row r="132" spans="1:9" x14ac:dyDescent="0.35">
      <c r="A132" s="149" t="s">
        <v>2</v>
      </c>
      <c r="B132" s="150">
        <v>0.4</v>
      </c>
      <c r="C132" s="150">
        <v>0.1</v>
      </c>
      <c r="D132" s="150">
        <v>0.5</v>
      </c>
    </row>
    <row r="133" spans="1:9" x14ac:dyDescent="0.35">
      <c r="A133" s="149" t="s">
        <v>3</v>
      </c>
      <c r="B133" s="150">
        <v>0.4</v>
      </c>
      <c r="C133" s="150">
        <v>0.1</v>
      </c>
      <c r="D133" s="150">
        <v>0.5</v>
      </c>
    </row>
    <row r="134" spans="1:9" x14ac:dyDescent="0.35">
      <c r="A134" s="242" t="s">
        <v>6</v>
      </c>
      <c r="B134" s="243">
        <v>0.1</v>
      </c>
      <c r="C134" s="243">
        <v>0.1</v>
      </c>
      <c r="D134" s="243">
        <v>0.8</v>
      </c>
    </row>
    <row r="135" spans="1:9" x14ac:dyDescent="0.35">
      <c r="A135" s="267" t="s">
        <v>70</v>
      </c>
      <c r="B135" s="267"/>
      <c r="C135" s="267"/>
      <c r="D135" s="267"/>
    </row>
    <row r="136" spans="1:9" x14ac:dyDescent="0.35">
      <c r="A136" s="268"/>
      <c r="B136" s="268"/>
      <c r="C136" s="268"/>
      <c r="D136" s="268"/>
    </row>
    <row r="137" spans="1:9" ht="28.5" x14ac:dyDescent="0.45">
      <c r="A137" s="193" t="s">
        <v>71</v>
      </c>
      <c r="B137" s="192"/>
      <c r="C137" s="194"/>
      <c r="D137" s="195">
        <v>7424</v>
      </c>
    </row>
    <row r="138" spans="1:9" ht="28.5" x14ac:dyDescent="0.45">
      <c r="A138" s="193" t="s">
        <v>72</v>
      </c>
      <c r="B138" s="196"/>
      <c r="C138" s="196"/>
      <c r="D138" s="197">
        <f>SUM(C139:C140)</f>
        <v>83426.87</v>
      </c>
    </row>
    <row r="139" spans="1:9" ht="28.5" x14ac:dyDescent="0.45">
      <c r="A139" s="196">
        <v>1</v>
      </c>
      <c r="B139" s="196" t="s">
        <v>73</v>
      </c>
      <c r="C139" s="197">
        <v>50425.9</v>
      </c>
      <c r="D139" s="197"/>
    </row>
    <row r="140" spans="1:9" ht="33" x14ac:dyDescent="0.75">
      <c r="A140" s="196">
        <v>2</v>
      </c>
      <c r="B140" s="196" t="s">
        <v>74</v>
      </c>
      <c r="C140" s="198">
        <v>33000.97</v>
      </c>
      <c r="D140" s="197"/>
    </row>
    <row r="141" spans="1:9" ht="30.75" x14ac:dyDescent="0.35">
      <c r="A141" s="199" t="s">
        <v>75</v>
      </c>
      <c r="B141" s="200"/>
      <c r="C141" s="201"/>
      <c r="D141" s="202">
        <f>SUM(HerritageFunds[AMOUNT])</f>
        <v>4800</v>
      </c>
    </row>
    <row r="142" spans="1:9" ht="33" x14ac:dyDescent="0.75">
      <c r="A142" s="203"/>
      <c r="B142" s="203"/>
      <c r="C142" s="204"/>
      <c r="D142" s="204">
        <f>SUM(D137:D141)</f>
        <v>95650.87</v>
      </c>
    </row>
  </sheetData>
  <sheetProtection sheet="1" objects="1" scenarios="1" sort="0" autoFilter="0"/>
  <mergeCells count="5">
    <mergeCell ref="A1:D1"/>
    <mergeCell ref="A2:D2"/>
    <mergeCell ref="A3:D3"/>
    <mergeCell ref="A135:D136"/>
    <mergeCell ref="B128:D128"/>
  </mergeCells>
  <conditionalFormatting sqref="A126">
    <cfRule type="expression" dxfId="101" priority="1">
      <formula>$D$126&lt;0</formula>
    </cfRule>
    <cfRule type="expression" dxfId="100" priority="2">
      <formula>$D$126&gt;0</formula>
    </cfRule>
  </conditionalFormatting>
  <pageMargins left="0.7" right="0.7" top="0.75" bottom="0.75" header="0.3" footer="0.3"/>
  <pageSetup paperSize="9" scale="61"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aveToLocations">
                <anchor>
                  <from>
                    <xdr:col>4</xdr:col>
                    <xdr:colOff>238125</xdr:colOff>
                    <xdr:row>13</xdr:row>
                    <xdr:rowOff>123825</xdr:rowOff>
                  </from>
                  <to>
                    <xdr:col>7</xdr:col>
                    <xdr:colOff>209550</xdr:colOff>
                    <xdr:row>17</xdr:row>
                    <xdr:rowOff>38100</xdr:rowOff>
                  </to>
                </anchor>
              </controlPr>
            </control>
          </mc:Choice>
        </mc:AlternateContent>
        <mc:AlternateContent xmlns:mc="http://schemas.openxmlformats.org/markup-compatibility/2006">
          <mc:Choice Requires="x14">
            <control shapeId="4098" r:id="rId5" name="Button 2">
              <controlPr defaultSize="0" print="0" autoFill="0" autoPict="0" macro="[0]!WeeklyReports">
                <anchor>
                  <from>
                    <xdr:col>9</xdr:col>
                    <xdr:colOff>276225</xdr:colOff>
                    <xdr:row>8</xdr:row>
                    <xdr:rowOff>152400</xdr:rowOff>
                  </from>
                  <to>
                    <xdr:col>12</xdr:col>
                    <xdr:colOff>19050</xdr:colOff>
                    <xdr:row>12</xdr:row>
                    <xdr:rowOff>66675</xdr:rowOff>
                  </to>
                </anchor>
              </controlPr>
            </control>
          </mc:Choice>
        </mc:AlternateContent>
        <mc:AlternateContent xmlns:mc="http://schemas.openxmlformats.org/markup-compatibility/2006">
          <mc:Choice Requires="x14">
            <control shapeId="4099" r:id="rId6" name="Button 3">
              <controlPr defaultSize="0" print="0" autoFill="0" autoPict="0" macro="[0]!Receipt_Numbers">
                <anchor>
                  <from>
                    <xdr:col>4</xdr:col>
                    <xdr:colOff>295275</xdr:colOff>
                    <xdr:row>8</xdr:row>
                    <xdr:rowOff>152400</xdr:rowOff>
                  </from>
                  <to>
                    <xdr:col>7</xdr:col>
                    <xdr:colOff>47625</xdr:colOff>
                    <xdr:row>12</xdr:row>
                    <xdr:rowOff>66675</xdr:rowOff>
                  </to>
                </anchor>
              </controlPr>
            </control>
          </mc:Choice>
        </mc:AlternateContent>
        <mc:AlternateContent xmlns:mc="http://schemas.openxmlformats.org/markup-compatibility/2006">
          <mc:Choice Requires="x14">
            <control shapeId="4101" r:id="rId7" name="Button 5">
              <controlPr defaultSize="0" print="0" autoFill="0" autoPict="0" macro="[0]!Record_Expenditure">
                <anchor>
                  <from>
                    <xdr:col>9</xdr:col>
                    <xdr:colOff>257175</xdr:colOff>
                    <xdr:row>13</xdr:row>
                    <xdr:rowOff>123825</xdr:rowOff>
                  </from>
                  <to>
                    <xdr:col>12</xdr:col>
                    <xdr:colOff>38100</xdr:colOff>
                    <xdr:row>17</xdr:row>
                    <xdr:rowOff>38100</xdr:rowOff>
                  </to>
                </anchor>
              </controlPr>
            </control>
          </mc:Choice>
        </mc:AlternateContent>
        <mc:AlternateContent xmlns:mc="http://schemas.openxmlformats.org/markup-compatibility/2006">
          <mc:Choice Requires="x14">
            <control shapeId="4102" r:id="rId8" name="Button 6">
              <controlPr defaultSize="0" print="0" autoFill="0" autoPict="0" macro="[0]!Module2.Income">
                <anchor>
                  <from>
                    <xdr:col>7</xdr:col>
                    <xdr:colOff>295275</xdr:colOff>
                    <xdr:row>13</xdr:row>
                    <xdr:rowOff>123825</xdr:rowOff>
                  </from>
                  <to>
                    <xdr:col>9</xdr:col>
                    <xdr:colOff>152400</xdr:colOff>
                    <xdr:row>17</xdr:row>
                    <xdr:rowOff>38100</xdr:rowOff>
                  </to>
                </anchor>
              </controlPr>
            </control>
          </mc:Choice>
        </mc:AlternateContent>
        <mc:AlternateContent xmlns:mc="http://schemas.openxmlformats.org/markup-compatibility/2006">
          <mc:Choice Requires="x14">
            <control shapeId="4103" r:id="rId9" name="Button 7">
              <controlPr defaultSize="0" print="0" autoFill="0" autoPict="0" macro="[0]!Heritage_Funds">
                <anchor>
                  <from>
                    <xdr:col>7</xdr:col>
                    <xdr:colOff>238125</xdr:colOff>
                    <xdr:row>8</xdr:row>
                    <xdr:rowOff>152400</xdr:rowOff>
                  </from>
                  <to>
                    <xdr:col>9</xdr:col>
                    <xdr:colOff>85725</xdr:colOff>
                    <xdr:row>12</xdr:row>
                    <xdr:rowOff>66675</xdr:rowOff>
                  </to>
                </anchor>
              </controlPr>
            </control>
          </mc:Choice>
        </mc:AlternateContent>
        <mc:AlternateContent xmlns:mc="http://schemas.openxmlformats.org/markup-compatibility/2006">
          <mc:Choice Requires="x14">
            <control shapeId="4104" r:id="rId10" name="Button 8">
              <controlPr defaultSize="0" print="0" autoFill="0" autoPict="0" macro="[0]!Return_Home">
                <anchor>
                  <from>
                    <xdr:col>4</xdr:col>
                    <xdr:colOff>314325</xdr:colOff>
                    <xdr:row>4</xdr:row>
                    <xdr:rowOff>38100</xdr:rowOff>
                  </from>
                  <to>
                    <xdr:col>7</xdr:col>
                    <xdr:colOff>47625</xdr:colOff>
                    <xdr:row>7</xdr:row>
                    <xdr:rowOff>209550</xdr:rowOff>
                  </to>
                </anchor>
              </controlPr>
            </control>
          </mc:Choice>
        </mc:AlternateContent>
      </controls>
    </mc:Choice>
  </mc:AlternateContent>
  <tableParts count="3">
    <tablePart r:id="rId11"/>
    <tablePart r:id="rId12"/>
    <tablePart r:id="rId1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C89"/>
  <sheetViews>
    <sheetView showGridLines="0" zoomScale="85" zoomScaleNormal="85" workbookViewId="0">
      <selection activeCell="B37" sqref="B37"/>
    </sheetView>
  </sheetViews>
  <sheetFormatPr defaultRowHeight="15" x14ac:dyDescent="0.25"/>
  <cols>
    <col min="1" max="1" width="10.7109375" bestFit="1" customWidth="1"/>
    <col min="2" max="2" width="23" customWidth="1"/>
    <col min="3" max="3" width="18.42578125" customWidth="1"/>
  </cols>
  <sheetData>
    <row r="1" spans="1:3" x14ac:dyDescent="0.25">
      <c r="A1" t="s">
        <v>21</v>
      </c>
      <c r="B1" t="s">
        <v>90</v>
      </c>
      <c r="C1" t="s">
        <v>91</v>
      </c>
    </row>
    <row r="2" spans="1:3" hidden="1" x14ac:dyDescent="0.25">
      <c r="A2" s="27">
        <v>44807</v>
      </c>
      <c r="B2">
        <v>0</v>
      </c>
      <c r="C2">
        <v>0</v>
      </c>
    </row>
    <row r="3" spans="1:3" hidden="1" x14ac:dyDescent="0.25">
      <c r="A3" s="27">
        <v>44814</v>
      </c>
      <c r="B3">
        <v>106326</v>
      </c>
      <c r="C3">
        <v>106351</v>
      </c>
    </row>
    <row r="4" spans="1:3" hidden="1" x14ac:dyDescent="0.25">
      <c r="A4" s="27">
        <v>44821</v>
      </c>
      <c r="B4">
        <v>106352</v>
      </c>
      <c r="C4">
        <v>106390</v>
      </c>
    </row>
    <row r="5" spans="1:3" hidden="1" x14ac:dyDescent="0.25">
      <c r="A5" s="27">
        <v>44828</v>
      </c>
      <c r="B5">
        <v>106391</v>
      </c>
      <c r="C5">
        <v>106423</v>
      </c>
    </row>
    <row r="6" spans="1:3" hidden="1" x14ac:dyDescent="0.25">
      <c r="A6" s="27">
        <v>44835</v>
      </c>
      <c r="B6">
        <v>106425</v>
      </c>
      <c r="C6">
        <v>106450</v>
      </c>
    </row>
    <row r="7" spans="1:3" hidden="1" x14ac:dyDescent="0.25">
      <c r="A7" s="27">
        <v>44842</v>
      </c>
      <c r="B7">
        <v>106451</v>
      </c>
      <c r="C7">
        <v>106485</v>
      </c>
    </row>
    <row r="8" spans="1:3" hidden="1" x14ac:dyDescent="0.25">
      <c r="A8" s="27">
        <v>44849</v>
      </c>
      <c r="B8" t="s">
        <v>94</v>
      </c>
      <c r="C8" t="s">
        <v>95</v>
      </c>
    </row>
    <row r="9" spans="1:3" hidden="1" x14ac:dyDescent="0.25">
      <c r="A9" s="27">
        <v>44856</v>
      </c>
      <c r="B9">
        <v>197519</v>
      </c>
      <c r="C9">
        <v>197558</v>
      </c>
    </row>
    <row r="10" spans="1:3" hidden="1" x14ac:dyDescent="0.25">
      <c r="A10" s="27">
        <v>44863</v>
      </c>
      <c r="B10">
        <v>197559</v>
      </c>
      <c r="C10">
        <v>197591</v>
      </c>
    </row>
    <row r="11" spans="1:3" hidden="1" x14ac:dyDescent="0.25">
      <c r="A11" s="27">
        <v>44870</v>
      </c>
      <c r="B11">
        <v>197592</v>
      </c>
      <c r="C11">
        <v>197622</v>
      </c>
    </row>
    <row r="12" spans="1:3" hidden="1" x14ac:dyDescent="0.25">
      <c r="A12" s="27">
        <v>44877</v>
      </c>
      <c r="B12">
        <v>197623</v>
      </c>
      <c r="C12">
        <v>197654</v>
      </c>
    </row>
    <row r="13" spans="1:3" hidden="1" x14ac:dyDescent="0.25">
      <c r="A13" s="27">
        <v>44884</v>
      </c>
      <c r="B13">
        <v>197656</v>
      </c>
      <c r="C13">
        <v>197692</v>
      </c>
    </row>
    <row r="14" spans="1:3" hidden="1" x14ac:dyDescent="0.25">
      <c r="A14" s="27">
        <v>44891</v>
      </c>
      <c r="B14">
        <v>197693</v>
      </c>
      <c r="C14">
        <v>197724</v>
      </c>
    </row>
    <row r="15" spans="1:3" hidden="1" x14ac:dyDescent="0.25">
      <c r="A15" s="27">
        <v>44898</v>
      </c>
      <c r="B15">
        <v>197725</v>
      </c>
      <c r="C15">
        <v>197748</v>
      </c>
    </row>
    <row r="16" spans="1:3" hidden="1" x14ac:dyDescent="0.25">
      <c r="A16" s="27">
        <v>44905</v>
      </c>
      <c r="B16" t="s">
        <v>118</v>
      </c>
      <c r="C16" t="s">
        <v>119</v>
      </c>
    </row>
    <row r="17" spans="1:3" hidden="1" x14ac:dyDescent="0.25">
      <c r="A17" s="27">
        <v>44912</v>
      </c>
      <c r="B17">
        <v>219278</v>
      </c>
      <c r="C17">
        <v>219305</v>
      </c>
    </row>
    <row r="18" spans="1:3" hidden="1" x14ac:dyDescent="0.25">
      <c r="A18" s="27">
        <v>44919</v>
      </c>
      <c r="B18">
        <v>219306</v>
      </c>
      <c r="C18">
        <v>219341</v>
      </c>
    </row>
    <row r="19" spans="1:3" hidden="1" x14ac:dyDescent="0.25">
      <c r="A19" s="27">
        <v>44926</v>
      </c>
      <c r="B19">
        <v>219342</v>
      </c>
      <c r="C19">
        <v>219382</v>
      </c>
    </row>
    <row r="20" spans="1:3" x14ac:dyDescent="0.25">
      <c r="A20" s="27">
        <v>44933</v>
      </c>
      <c r="B20" s="123">
        <v>219383</v>
      </c>
      <c r="C20" s="123">
        <v>219416</v>
      </c>
    </row>
    <row r="21" spans="1:3" x14ac:dyDescent="0.25">
      <c r="A21" s="27">
        <v>44940</v>
      </c>
      <c r="B21" s="123">
        <v>219417</v>
      </c>
      <c r="C21" s="123">
        <v>219447</v>
      </c>
    </row>
    <row r="22" spans="1:3" x14ac:dyDescent="0.25">
      <c r="A22" s="27">
        <v>44947</v>
      </c>
      <c r="B22" s="123">
        <v>219448</v>
      </c>
      <c r="C22" s="123">
        <v>219483</v>
      </c>
    </row>
    <row r="23" spans="1:3" x14ac:dyDescent="0.25">
      <c r="A23" s="27">
        <v>44954</v>
      </c>
      <c r="B23" s="123" t="s">
        <v>123</v>
      </c>
      <c r="C23" s="123" t="s">
        <v>122</v>
      </c>
    </row>
    <row r="24" spans="1:3" x14ac:dyDescent="0.25">
      <c r="A24" s="27">
        <v>44961</v>
      </c>
      <c r="B24" s="123">
        <v>158537</v>
      </c>
      <c r="C24" s="123">
        <v>158576</v>
      </c>
    </row>
    <row r="25" spans="1:3" x14ac:dyDescent="0.25">
      <c r="A25" s="27">
        <v>44968</v>
      </c>
      <c r="B25" s="123">
        <v>158577</v>
      </c>
      <c r="C25" s="123">
        <v>158621</v>
      </c>
    </row>
    <row r="26" spans="1:3" x14ac:dyDescent="0.25">
      <c r="A26" s="27">
        <v>44975</v>
      </c>
      <c r="B26" s="123">
        <v>158622</v>
      </c>
      <c r="C26" s="123">
        <v>158661</v>
      </c>
    </row>
    <row r="27" spans="1:3" x14ac:dyDescent="0.25">
      <c r="A27" s="27">
        <v>44982</v>
      </c>
      <c r="B27" s="123">
        <v>158662</v>
      </c>
      <c r="C27" s="123">
        <v>158706</v>
      </c>
    </row>
    <row r="28" spans="1:3" x14ac:dyDescent="0.25">
      <c r="A28" s="27">
        <v>44989</v>
      </c>
      <c r="B28" s="123">
        <v>158707</v>
      </c>
      <c r="C28" s="123">
        <v>158748</v>
      </c>
    </row>
    <row r="29" spans="1:3" x14ac:dyDescent="0.25">
      <c r="A29" s="27">
        <v>44996</v>
      </c>
      <c r="B29" s="123" t="s">
        <v>140</v>
      </c>
      <c r="C29" s="123" t="s">
        <v>141</v>
      </c>
    </row>
    <row r="30" spans="1:3" x14ac:dyDescent="0.25">
      <c r="A30" s="27">
        <v>45003</v>
      </c>
      <c r="B30" s="123">
        <v>120787</v>
      </c>
      <c r="C30" s="123">
        <v>120828</v>
      </c>
    </row>
    <row r="31" spans="1:3" x14ac:dyDescent="0.25">
      <c r="A31" s="27">
        <v>45010</v>
      </c>
      <c r="B31" s="123">
        <v>120829</v>
      </c>
      <c r="C31" s="123">
        <v>120873</v>
      </c>
    </row>
    <row r="32" spans="1:3" x14ac:dyDescent="0.25">
      <c r="A32" s="27">
        <v>45017</v>
      </c>
      <c r="B32" s="123">
        <v>120874</v>
      </c>
      <c r="C32" s="123">
        <v>120916</v>
      </c>
    </row>
    <row r="33" spans="1:3" x14ac:dyDescent="0.25">
      <c r="A33" s="27">
        <v>45024</v>
      </c>
      <c r="B33" s="123">
        <v>120917</v>
      </c>
      <c r="C33" s="123">
        <v>120951</v>
      </c>
    </row>
    <row r="34" spans="1:3" x14ac:dyDescent="0.25">
      <c r="A34" s="27">
        <v>45031</v>
      </c>
      <c r="B34" s="123">
        <v>120952</v>
      </c>
      <c r="C34" s="123">
        <v>120976</v>
      </c>
    </row>
    <row r="35" spans="1:3" x14ac:dyDescent="0.25">
      <c r="A35" s="27">
        <v>45038</v>
      </c>
      <c r="B35" s="123" t="s">
        <v>139</v>
      </c>
      <c r="C35" s="123" t="s">
        <v>137</v>
      </c>
    </row>
    <row r="36" spans="1:3" x14ac:dyDescent="0.25">
      <c r="A36" s="27">
        <v>45045</v>
      </c>
      <c r="B36" s="123">
        <v>180004</v>
      </c>
      <c r="C36" s="123">
        <v>180058</v>
      </c>
    </row>
    <row r="37" spans="1:3" x14ac:dyDescent="0.25">
      <c r="A37" s="27">
        <v>45052</v>
      </c>
      <c r="B37" s="123">
        <v>180059</v>
      </c>
      <c r="C37" s="123">
        <v>180088</v>
      </c>
    </row>
    <row r="38" spans="1:3" x14ac:dyDescent="0.25">
      <c r="A38" s="27">
        <v>45059</v>
      </c>
      <c r="B38" s="123">
        <v>180089</v>
      </c>
      <c r="C38" s="123">
        <v>180119</v>
      </c>
    </row>
    <row r="39" spans="1:3" x14ac:dyDescent="0.25">
      <c r="A39" s="27">
        <v>45066</v>
      </c>
      <c r="B39" s="123">
        <v>180120</v>
      </c>
      <c r="C39" s="123">
        <v>180160</v>
      </c>
    </row>
    <row r="40" spans="1:3" x14ac:dyDescent="0.25">
      <c r="A40" s="27">
        <v>45073</v>
      </c>
      <c r="B40" s="123">
        <v>180161</v>
      </c>
      <c r="C40" s="123">
        <v>180199</v>
      </c>
    </row>
    <row r="41" spans="1:3" x14ac:dyDescent="0.25">
      <c r="A41" s="27">
        <v>45080</v>
      </c>
      <c r="B41" s="123">
        <v>180200</v>
      </c>
      <c r="C41" s="123">
        <v>180240</v>
      </c>
    </row>
    <row r="42" spans="1:3" x14ac:dyDescent="0.25">
      <c r="A42" s="27">
        <v>45087</v>
      </c>
      <c r="B42" s="123" t="s">
        <v>126</v>
      </c>
      <c r="C42" s="123" t="s">
        <v>127</v>
      </c>
    </row>
    <row r="43" spans="1:3" x14ac:dyDescent="0.25">
      <c r="A43" s="27">
        <v>45094</v>
      </c>
      <c r="B43" s="123">
        <v>181023</v>
      </c>
      <c r="C43" s="123">
        <v>181051</v>
      </c>
    </row>
    <row r="44" spans="1:3" x14ac:dyDescent="0.25">
      <c r="A44" s="27">
        <v>45101</v>
      </c>
      <c r="B44" s="123">
        <v>181052</v>
      </c>
      <c r="C44" s="123">
        <v>181097</v>
      </c>
    </row>
    <row r="45" spans="1:3" x14ac:dyDescent="0.25">
      <c r="A45" s="27">
        <v>45108</v>
      </c>
      <c r="B45" s="123">
        <v>181098</v>
      </c>
      <c r="C45" s="123">
        <v>181144</v>
      </c>
    </row>
    <row r="46" spans="1:3" x14ac:dyDescent="0.25">
      <c r="A46" s="27">
        <v>45115</v>
      </c>
      <c r="B46" s="123">
        <v>181145</v>
      </c>
      <c r="C46" s="123">
        <v>181183</v>
      </c>
    </row>
    <row r="47" spans="1:3" x14ac:dyDescent="0.25">
      <c r="A47" s="27">
        <v>45122</v>
      </c>
      <c r="B47" s="123">
        <v>181184</v>
      </c>
      <c r="C47" s="123">
        <v>181219</v>
      </c>
    </row>
    <row r="48" spans="1:3" x14ac:dyDescent="0.25">
      <c r="A48" s="27">
        <v>45129</v>
      </c>
      <c r="B48" s="123">
        <v>181220</v>
      </c>
      <c r="C48" s="123">
        <v>181242</v>
      </c>
    </row>
    <row r="49" spans="1:3" x14ac:dyDescent="0.25">
      <c r="A49" s="27">
        <v>45136</v>
      </c>
      <c r="B49" s="123" t="s">
        <v>129</v>
      </c>
      <c r="C49" s="123" t="s">
        <v>130</v>
      </c>
    </row>
    <row r="50" spans="1:3" x14ac:dyDescent="0.25">
      <c r="A50" s="27">
        <v>45143</v>
      </c>
      <c r="B50" s="123">
        <v>121782</v>
      </c>
      <c r="C50" s="123">
        <v>121809</v>
      </c>
    </row>
    <row r="51" spans="1:3" x14ac:dyDescent="0.25">
      <c r="A51" s="27">
        <v>45150</v>
      </c>
      <c r="B51" s="123">
        <v>121810</v>
      </c>
      <c r="C51" s="123">
        <v>121838</v>
      </c>
    </row>
    <row r="52" spans="1:3" x14ac:dyDescent="0.25">
      <c r="A52" s="27">
        <v>45157</v>
      </c>
      <c r="B52" s="123">
        <v>121839</v>
      </c>
      <c r="C52" s="123">
        <v>121875</v>
      </c>
    </row>
    <row r="53" spans="1:3" x14ac:dyDescent="0.25">
      <c r="A53" s="27">
        <v>45164</v>
      </c>
      <c r="B53" s="123">
        <v>121876</v>
      </c>
      <c r="C53" s="123">
        <v>121906</v>
      </c>
    </row>
    <row r="54" spans="1:3" x14ac:dyDescent="0.25">
      <c r="A54" s="27">
        <v>45171</v>
      </c>
      <c r="B54" s="123">
        <v>121907</v>
      </c>
      <c r="C54" s="123">
        <v>121944</v>
      </c>
    </row>
    <row r="55" spans="1:3" x14ac:dyDescent="0.25">
      <c r="A55" s="27">
        <v>45178</v>
      </c>
      <c r="B55" s="123">
        <v>121945</v>
      </c>
      <c r="C55" s="123">
        <v>121962</v>
      </c>
    </row>
    <row r="56" spans="1:3" x14ac:dyDescent="0.25">
      <c r="A56" s="27">
        <v>45185</v>
      </c>
      <c r="B56" s="123">
        <v>121963</v>
      </c>
      <c r="C56" s="123">
        <v>121994</v>
      </c>
    </row>
    <row r="57" spans="1:3" x14ac:dyDescent="0.25">
      <c r="A57" s="27">
        <v>45192</v>
      </c>
      <c r="B57" s="123">
        <v>0</v>
      </c>
      <c r="C57" s="123">
        <v>0</v>
      </c>
    </row>
    <row r="58" spans="1:3" x14ac:dyDescent="0.25">
      <c r="A58" s="27">
        <v>45199</v>
      </c>
      <c r="B58" s="123" t="s">
        <v>135</v>
      </c>
      <c r="C58" s="123" t="s">
        <v>136</v>
      </c>
    </row>
    <row r="59" spans="1:3" x14ac:dyDescent="0.25">
      <c r="A59" s="27">
        <v>45206</v>
      </c>
      <c r="B59" s="123">
        <v>336530</v>
      </c>
      <c r="C59" s="123">
        <v>336564</v>
      </c>
    </row>
    <row r="60" spans="1:3" x14ac:dyDescent="0.25">
      <c r="A60" s="27">
        <v>45213</v>
      </c>
      <c r="B60" s="123">
        <v>336565</v>
      </c>
      <c r="C60" s="123">
        <v>336593</v>
      </c>
    </row>
    <row r="61" spans="1:3" x14ac:dyDescent="0.25">
      <c r="A61" s="27">
        <v>45220</v>
      </c>
      <c r="B61" s="123">
        <v>336594</v>
      </c>
      <c r="C61" s="123">
        <v>336602</v>
      </c>
    </row>
    <row r="62" spans="1:3" x14ac:dyDescent="0.25">
      <c r="A62" s="27">
        <v>45227</v>
      </c>
      <c r="B62" s="123">
        <v>336603</v>
      </c>
      <c r="C62" s="123">
        <v>336638</v>
      </c>
    </row>
    <row r="63" spans="1:3" x14ac:dyDescent="0.25">
      <c r="A63" s="27">
        <v>45234</v>
      </c>
      <c r="B63" s="123">
        <v>336639</v>
      </c>
      <c r="C63" s="123">
        <v>336672</v>
      </c>
    </row>
    <row r="64" spans="1:3" x14ac:dyDescent="0.25">
      <c r="A64" s="27">
        <v>45241</v>
      </c>
      <c r="B64" s="123">
        <v>336673</v>
      </c>
      <c r="C64" s="123">
        <v>336707</v>
      </c>
    </row>
    <row r="65" spans="1:3" x14ac:dyDescent="0.25">
      <c r="A65" s="27">
        <v>45248</v>
      </c>
      <c r="B65" s="123">
        <v>336710</v>
      </c>
      <c r="C65" s="123">
        <v>336743</v>
      </c>
    </row>
    <row r="66" spans="1:3" x14ac:dyDescent="0.25">
      <c r="A66" s="27">
        <v>45255</v>
      </c>
      <c r="B66" s="123" t="s">
        <v>151</v>
      </c>
      <c r="C66" s="123" t="s">
        <v>152</v>
      </c>
    </row>
    <row r="67" spans="1:3" x14ac:dyDescent="0.25">
      <c r="A67" s="27">
        <v>45262</v>
      </c>
      <c r="B67" s="123">
        <v>350026</v>
      </c>
      <c r="C67" s="123">
        <v>350074</v>
      </c>
    </row>
    <row r="68" spans="1:3" x14ac:dyDescent="0.25">
      <c r="A68" s="27">
        <v>45269</v>
      </c>
      <c r="B68" s="123">
        <v>350074</v>
      </c>
      <c r="C68" s="123">
        <v>350116</v>
      </c>
    </row>
    <row r="69" spans="1:3" x14ac:dyDescent="0.25">
      <c r="A69" s="27">
        <v>45276</v>
      </c>
      <c r="B69" s="123">
        <v>350117</v>
      </c>
      <c r="C69" s="123">
        <v>350147</v>
      </c>
    </row>
    <row r="70" spans="1:3" x14ac:dyDescent="0.25">
      <c r="A70" s="27">
        <v>45283</v>
      </c>
      <c r="B70" s="123">
        <v>350148</v>
      </c>
      <c r="C70" s="123">
        <v>350181</v>
      </c>
    </row>
    <row r="71" spans="1:3" x14ac:dyDescent="0.25">
      <c r="A71" s="27">
        <v>45290</v>
      </c>
      <c r="B71" s="123">
        <v>350182</v>
      </c>
      <c r="C71" s="123">
        <v>350214</v>
      </c>
    </row>
    <row r="72" spans="1:3" x14ac:dyDescent="0.25">
      <c r="A72" s="27">
        <v>45297</v>
      </c>
      <c r="B72" s="123">
        <v>350215</v>
      </c>
      <c r="C72" s="123">
        <v>350247</v>
      </c>
    </row>
    <row r="73" spans="1:3" x14ac:dyDescent="0.25">
      <c r="A73" s="27">
        <v>45304</v>
      </c>
      <c r="B73" s="123" t="s">
        <v>163</v>
      </c>
      <c r="C73" s="123" t="s">
        <v>164</v>
      </c>
    </row>
    <row r="74" spans="1:3" x14ac:dyDescent="0.25">
      <c r="A74" s="27">
        <v>45311</v>
      </c>
      <c r="B74" s="123">
        <v>336775</v>
      </c>
      <c r="C74" s="123">
        <v>336811</v>
      </c>
    </row>
    <row r="75" spans="1:3" x14ac:dyDescent="0.25">
      <c r="A75" s="27">
        <v>45318</v>
      </c>
      <c r="B75" s="123">
        <v>336812</v>
      </c>
      <c r="C75" s="123">
        <v>336854</v>
      </c>
    </row>
    <row r="76" spans="1:3" x14ac:dyDescent="0.25">
      <c r="A76" s="27">
        <v>45325</v>
      </c>
      <c r="B76" s="123">
        <v>336855</v>
      </c>
      <c r="C76" s="123">
        <v>336883</v>
      </c>
    </row>
    <row r="77" spans="1:3" x14ac:dyDescent="0.25">
      <c r="A77" s="27">
        <v>45332</v>
      </c>
      <c r="B77" s="123">
        <v>336884</v>
      </c>
      <c r="C77" s="123">
        <v>336920</v>
      </c>
    </row>
    <row r="78" spans="1:3" x14ac:dyDescent="0.25">
      <c r="A78" s="27">
        <v>45339</v>
      </c>
      <c r="B78">
        <v>336921</v>
      </c>
      <c r="C78">
        <v>336952</v>
      </c>
    </row>
    <row r="79" spans="1:3" x14ac:dyDescent="0.25">
      <c r="A79" s="27">
        <v>45346</v>
      </c>
      <c r="B79">
        <v>336953</v>
      </c>
      <c r="C79">
        <v>336985</v>
      </c>
    </row>
    <row r="80" spans="1:3" x14ac:dyDescent="0.25">
      <c r="A80" s="27">
        <v>45353</v>
      </c>
      <c r="B80" t="s">
        <v>175</v>
      </c>
      <c r="C80" t="s">
        <v>174</v>
      </c>
    </row>
    <row r="81" spans="1:3" x14ac:dyDescent="0.25">
      <c r="A81" s="27">
        <v>45360</v>
      </c>
      <c r="B81">
        <v>424018</v>
      </c>
      <c r="C81">
        <v>424044</v>
      </c>
    </row>
    <row r="82" spans="1:3" x14ac:dyDescent="0.25">
      <c r="A82" s="27">
        <v>45367</v>
      </c>
      <c r="B82">
        <v>424045</v>
      </c>
      <c r="C82">
        <v>424076</v>
      </c>
    </row>
    <row r="83" spans="1:3" x14ac:dyDescent="0.25">
      <c r="A83" s="27">
        <v>45374</v>
      </c>
      <c r="B83">
        <v>424077</v>
      </c>
      <c r="C83">
        <v>424115</v>
      </c>
    </row>
    <row r="84" spans="1:3" x14ac:dyDescent="0.25">
      <c r="A84" s="27">
        <v>45381</v>
      </c>
      <c r="B84">
        <v>424116</v>
      </c>
      <c r="C84">
        <v>424154</v>
      </c>
    </row>
    <row r="85" spans="1:3" x14ac:dyDescent="0.25">
      <c r="A85" s="27">
        <v>45388</v>
      </c>
      <c r="B85">
        <v>424155</v>
      </c>
      <c r="C85">
        <v>424182</v>
      </c>
    </row>
    <row r="86" spans="1:3" x14ac:dyDescent="0.25">
      <c r="A86" s="27">
        <v>45395</v>
      </c>
      <c r="B86">
        <v>424183</v>
      </c>
      <c r="C86">
        <v>424211</v>
      </c>
    </row>
    <row r="87" spans="1:3" x14ac:dyDescent="0.25">
      <c r="A87" s="27">
        <v>45402</v>
      </c>
      <c r="B87">
        <v>424212</v>
      </c>
      <c r="C87">
        <v>424237</v>
      </c>
    </row>
    <row r="88" spans="1:3" x14ac:dyDescent="0.25">
      <c r="A88" s="27">
        <v>45409</v>
      </c>
      <c r="B88" t="s">
        <v>176</v>
      </c>
      <c r="C88" t="s">
        <v>177</v>
      </c>
    </row>
    <row r="89" spans="1:3" x14ac:dyDescent="0.25">
      <c r="A89" s="27">
        <v>45416</v>
      </c>
      <c r="B89">
        <v>423774</v>
      </c>
      <c r="C89">
        <v>423808</v>
      </c>
    </row>
  </sheetData>
  <sheetProtection sheet="1" objects="1" scenarios="1" sort="0" autoFilter="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45" r:id="rId4" name="Button 25">
              <controlPr defaultSize="0" print="0" autoFill="0" autoPict="0" macro="[0]!SaveToLocations">
                <anchor>
                  <from>
                    <xdr:col>10</xdr:col>
                    <xdr:colOff>209550</xdr:colOff>
                    <xdr:row>19</xdr:row>
                    <xdr:rowOff>123825</xdr:rowOff>
                  </from>
                  <to>
                    <xdr:col>12</xdr:col>
                    <xdr:colOff>342900</xdr:colOff>
                    <xdr:row>22</xdr:row>
                    <xdr:rowOff>57150</xdr:rowOff>
                  </to>
                </anchor>
              </controlPr>
            </control>
          </mc:Choice>
        </mc:AlternateContent>
        <mc:AlternateContent xmlns:mc="http://schemas.openxmlformats.org/markup-compatibility/2006">
          <mc:Choice Requires="x14">
            <control shapeId="5146" r:id="rId5" name="Button 26">
              <controlPr defaultSize="0" print="0" autoFill="0" autoPict="0" macro="[0]!WeeklyReports">
                <anchor>
                  <from>
                    <xdr:col>5</xdr:col>
                    <xdr:colOff>400050</xdr:colOff>
                    <xdr:row>19</xdr:row>
                    <xdr:rowOff>123825</xdr:rowOff>
                  </from>
                  <to>
                    <xdr:col>7</xdr:col>
                    <xdr:colOff>457200</xdr:colOff>
                    <xdr:row>22</xdr:row>
                    <xdr:rowOff>57150</xdr:rowOff>
                  </to>
                </anchor>
              </controlPr>
            </control>
          </mc:Choice>
        </mc:AlternateContent>
        <mc:AlternateContent xmlns:mc="http://schemas.openxmlformats.org/markup-compatibility/2006">
          <mc:Choice Requires="x14">
            <control shapeId="5148" r:id="rId6" name="Button 28">
              <controlPr defaultSize="0" print="0" autoFill="0" autoPict="0" macro="[0]!Generate_Report">
                <anchor>
                  <from>
                    <xdr:col>17</xdr:col>
                    <xdr:colOff>323850</xdr:colOff>
                    <xdr:row>19</xdr:row>
                    <xdr:rowOff>123825</xdr:rowOff>
                  </from>
                  <to>
                    <xdr:col>19</xdr:col>
                    <xdr:colOff>361950</xdr:colOff>
                    <xdr:row>22</xdr:row>
                    <xdr:rowOff>57150</xdr:rowOff>
                  </to>
                </anchor>
              </controlPr>
            </control>
          </mc:Choice>
        </mc:AlternateContent>
        <mc:AlternateContent xmlns:mc="http://schemas.openxmlformats.org/markup-compatibility/2006">
          <mc:Choice Requires="x14">
            <control shapeId="5149" r:id="rId7" name="Button 29">
              <controlPr defaultSize="0" print="0" autoFill="0" autoPict="0" macro="[0]!Record_Expenditure">
                <anchor>
                  <from>
                    <xdr:col>15</xdr:col>
                    <xdr:colOff>123825</xdr:colOff>
                    <xdr:row>19</xdr:row>
                    <xdr:rowOff>123825</xdr:rowOff>
                  </from>
                  <to>
                    <xdr:col>17</xdr:col>
                    <xdr:colOff>152400</xdr:colOff>
                    <xdr:row>22</xdr:row>
                    <xdr:rowOff>57150</xdr:rowOff>
                  </to>
                </anchor>
              </controlPr>
            </control>
          </mc:Choice>
        </mc:AlternateContent>
        <mc:AlternateContent xmlns:mc="http://schemas.openxmlformats.org/markup-compatibility/2006">
          <mc:Choice Requires="x14">
            <control shapeId="5150" r:id="rId8" name="Button 30">
              <controlPr defaultSize="0" print="0" autoFill="0" autoPict="0" macro="[0]!Module2.Income">
                <anchor>
                  <from>
                    <xdr:col>12</xdr:col>
                    <xdr:colOff>523875</xdr:colOff>
                    <xdr:row>19</xdr:row>
                    <xdr:rowOff>123825</xdr:rowOff>
                  </from>
                  <to>
                    <xdr:col>14</xdr:col>
                    <xdr:colOff>571500</xdr:colOff>
                    <xdr:row>22</xdr:row>
                    <xdr:rowOff>57150</xdr:rowOff>
                  </to>
                </anchor>
              </controlPr>
            </control>
          </mc:Choice>
        </mc:AlternateContent>
        <mc:AlternateContent xmlns:mc="http://schemas.openxmlformats.org/markup-compatibility/2006">
          <mc:Choice Requires="x14">
            <control shapeId="5151" r:id="rId9" name="Button 31">
              <controlPr defaultSize="0" print="0" autoFill="0" autoPict="0" macro="[0]!Heritage_Funds">
                <anchor>
                  <from>
                    <xdr:col>8</xdr:col>
                    <xdr:colOff>9525</xdr:colOff>
                    <xdr:row>19</xdr:row>
                    <xdr:rowOff>123825</xdr:rowOff>
                  </from>
                  <to>
                    <xdr:col>10</xdr:col>
                    <xdr:colOff>47625</xdr:colOff>
                    <xdr:row>22</xdr:row>
                    <xdr:rowOff>57150</xdr:rowOff>
                  </to>
                </anchor>
              </controlPr>
            </control>
          </mc:Choice>
        </mc:AlternateContent>
        <mc:AlternateContent xmlns:mc="http://schemas.openxmlformats.org/markup-compatibility/2006">
          <mc:Choice Requires="x14">
            <control shapeId="5152" r:id="rId10" name="Button 32">
              <controlPr defaultSize="0" print="0" autoFill="0" autoPict="0" macro="[0]!Return_Home">
                <anchor>
                  <from>
                    <xdr:col>3</xdr:col>
                    <xdr:colOff>200025</xdr:colOff>
                    <xdr:row>19</xdr:row>
                    <xdr:rowOff>123825</xdr:rowOff>
                  </from>
                  <to>
                    <xdr:col>5</xdr:col>
                    <xdr:colOff>238125</xdr:colOff>
                    <xdr:row>22</xdr:row>
                    <xdr:rowOff>57150</xdr:rowOff>
                  </to>
                </anchor>
              </controlPr>
            </control>
          </mc:Choice>
        </mc:AlternateContent>
      </controls>
    </mc:Choice>
  </mc:AlternateContent>
  <tableParts count="1">
    <tablePart r:id="rId1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AF134"/>
  <sheetViews>
    <sheetView showGridLines="0" zoomScale="70" zoomScaleNormal="70" workbookViewId="0">
      <selection activeCell="A3" sqref="A3"/>
    </sheetView>
  </sheetViews>
  <sheetFormatPr defaultColWidth="9.140625" defaultRowHeight="21" x14ac:dyDescent="0.35"/>
  <cols>
    <col min="1" max="1" width="74.7109375" style="183" bestFit="1" customWidth="1"/>
    <col min="2" max="2" width="19.5703125" style="183" customWidth="1"/>
    <col min="3" max="3" width="25.7109375" style="183" customWidth="1"/>
    <col min="4" max="4" width="23" style="183" bestFit="1" customWidth="1"/>
    <col min="5" max="5" width="20.85546875" style="183" customWidth="1"/>
    <col min="6" max="6" width="10.140625" style="183" customWidth="1"/>
    <col min="7" max="7" width="9.28515625" style="183" customWidth="1"/>
    <col min="8" max="8" width="11.28515625" style="183" customWidth="1"/>
    <col min="9" max="9" width="27.85546875" style="183" bestFit="1" customWidth="1"/>
    <col min="10" max="10" width="16.28515625" style="183" bestFit="1" customWidth="1"/>
    <col min="11" max="11" width="14.7109375" style="183" customWidth="1"/>
    <col min="12" max="12" width="9.28515625" style="183" customWidth="1"/>
    <col min="13" max="13" width="8" style="183" customWidth="1"/>
    <col min="14" max="14" width="11.28515625" style="183" customWidth="1"/>
    <col min="15" max="15" width="12.5703125" style="183" customWidth="1"/>
    <col min="16" max="16" width="9.42578125" style="183" bestFit="1" customWidth="1"/>
    <col min="17" max="17" width="14.140625" style="183" bestFit="1" customWidth="1"/>
    <col min="18" max="18" width="11.7109375" style="183" bestFit="1" customWidth="1"/>
    <col min="19" max="20" width="11.5703125" style="183" bestFit="1" customWidth="1"/>
    <col min="21" max="21" width="9.42578125" style="183" bestFit="1" customWidth="1"/>
    <col min="22" max="22" width="14.140625" style="183" bestFit="1" customWidth="1"/>
    <col min="23" max="24" width="11.5703125" style="183" bestFit="1" customWidth="1"/>
    <col min="25" max="25" width="9.28515625" style="183" bestFit="1" customWidth="1"/>
    <col min="26" max="26" width="15.5703125" style="183" bestFit="1" customWidth="1"/>
    <col min="27" max="16384" width="9.140625" style="183"/>
  </cols>
  <sheetData>
    <row r="1" spans="1:22" x14ac:dyDescent="0.35">
      <c r="A1" s="272" t="s">
        <v>181</v>
      </c>
      <c r="B1" s="272"/>
      <c r="C1" s="272"/>
      <c r="D1" s="272"/>
    </row>
    <row r="2" spans="1:22" x14ac:dyDescent="0.35">
      <c r="A2" s="272" t="s">
        <v>182</v>
      </c>
      <c r="B2" s="272"/>
      <c r="C2" s="272"/>
      <c r="D2" s="272"/>
    </row>
    <row r="3" spans="1:22" x14ac:dyDescent="0.35">
      <c r="A3" s="257" t="s">
        <v>92</v>
      </c>
      <c r="B3" s="270">
        <v>44856</v>
      </c>
      <c r="C3" s="271"/>
      <c r="D3" s="271"/>
    </row>
    <row r="4" spans="1:22" x14ac:dyDescent="0.35">
      <c r="A4" s="258" t="s">
        <v>93</v>
      </c>
      <c r="B4" s="259">
        <f>VLOOKUP('NEW WEEKLY'!B3,IF({1,0},'RECEIPT NUMBERS'!$A$2:$A$89,'RECEIPT NUMBERS'!$B$2:$B$89),2,0)</f>
        <v>197519</v>
      </c>
      <c r="C4" s="258" t="s">
        <v>91</v>
      </c>
      <c r="D4" s="259">
        <f>VLOOKUP('NEW WEEKLY'!B3,IF({1,0},'RECEIPT NUMBERS'!$A$2:$A$89,'RECEIPT NUMBERS'!$C$2:$C$89),2,0)</f>
        <v>197558</v>
      </c>
    </row>
    <row r="5" spans="1:22" ht="31.5" customHeight="1" x14ac:dyDescent="0.35">
      <c r="A5" s="41" t="s">
        <v>56</v>
      </c>
      <c r="B5" s="205" t="s">
        <v>57</v>
      </c>
      <c r="C5" s="205" t="s">
        <v>96</v>
      </c>
      <c r="D5" s="206" t="s">
        <v>97</v>
      </c>
      <c r="H5"/>
      <c r="I5"/>
      <c r="J5"/>
      <c r="K5"/>
      <c r="L5"/>
      <c r="M5"/>
    </row>
    <row r="6" spans="1:22" x14ac:dyDescent="0.35">
      <c r="A6" s="34" t="s">
        <v>58</v>
      </c>
      <c r="B6" s="28"/>
      <c r="C6" s="28"/>
      <c r="D6" s="207"/>
      <c r="H6"/>
      <c r="I6"/>
      <c r="J6"/>
      <c r="K6"/>
      <c r="L6"/>
      <c r="M6"/>
    </row>
    <row r="7" spans="1:22" x14ac:dyDescent="0.35">
      <c r="A7" s="184" t="s">
        <v>120</v>
      </c>
      <c r="B7" s="185"/>
      <c r="C7" s="185"/>
      <c r="D7" s="186">
        <v>0</v>
      </c>
      <c r="H7"/>
      <c r="I7"/>
      <c r="J7"/>
      <c r="K7"/>
      <c r="L7"/>
      <c r="M7"/>
    </row>
    <row r="8" spans="1:22" x14ac:dyDescent="0.35">
      <c r="A8" s="184" t="s">
        <v>65</v>
      </c>
      <c r="B8" s="185"/>
      <c r="C8" s="185"/>
      <c r="D8" s="186">
        <v>0</v>
      </c>
      <c r="H8"/>
      <c r="I8"/>
      <c r="J8"/>
      <c r="K8"/>
      <c r="L8"/>
      <c r="M8"/>
      <c r="T8" s="188"/>
      <c r="V8" s="188"/>
    </row>
    <row r="9" spans="1:22" x14ac:dyDescent="0.35">
      <c r="A9" s="208" t="s">
        <v>66</v>
      </c>
      <c r="B9" s="209"/>
      <c r="C9" s="209"/>
      <c r="D9" s="212">
        <f>WeeklyIncome[[#Totals],[RENT]]</f>
        <v>0</v>
      </c>
      <c r="H9"/>
      <c r="I9"/>
      <c r="J9"/>
      <c r="K9"/>
      <c r="L9"/>
      <c r="M9"/>
    </row>
    <row r="10" spans="1:22" x14ac:dyDescent="0.35">
      <c r="A10" s="208" t="str">
        <f>WeeklyIncome[[#Headers],[TITHE]]</f>
        <v>TITHE</v>
      </c>
      <c r="B10" s="209"/>
      <c r="C10" s="209"/>
      <c r="D10" s="212">
        <f>WeeklyIncome[[#Totals],[TITHE]]</f>
        <v>1589</v>
      </c>
      <c r="H10"/>
      <c r="I10"/>
      <c r="J10"/>
      <c r="K10"/>
      <c r="L10"/>
      <c r="M10"/>
    </row>
    <row r="11" spans="1:22" x14ac:dyDescent="0.35">
      <c r="A11" s="208" t="str">
        <f>WeeklyIncome[[#Headers],[SYSTEMATIC OFFERING]]</f>
        <v>SYSTEMATIC OFFERING</v>
      </c>
      <c r="B11" s="209"/>
      <c r="C11" s="209"/>
      <c r="D11" s="212">
        <f>WeeklyIncome[[#Totals],[SYSTEMATIC OFFERING]]</f>
        <v>678</v>
      </c>
      <c r="H11"/>
      <c r="I11"/>
      <c r="J11"/>
      <c r="K11"/>
      <c r="L11"/>
      <c r="M11"/>
    </row>
    <row r="12" spans="1:22" x14ac:dyDescent="0.35">
      <c r="A12" s="208" t="str">
        <f>WeeklyIncome[[#Headers],[THANKS OFFERING]]</f>
        <v>THANKS OFFERING</v>
      </c>
      <c r="B12" s="209"/>
      <c r="C12" s="209"/>
      <c r="D12" s="212">
        <f>WeeklyIncome[[#Totals],[THANKS OFFERING]]</f>
        <v>155</v>
      </c>
      <c r="H12"/>
      <c r="I12"/>
      <c r="J12"/>
      <c r="K12"/>
      <c r="L12"/>
      <c r="M12"/>
    </row>
    <row r="13" spans="1:22" x14ac:dyDescent="0.35">
      <c r="A13" s="208" t="str">
        <f>WeeklyIncome[[#Headers],[LOOSE OFFERING]]</f>
        <v>LOOSE OFFERING</v>
      </c>
      <c r="B13" s="209"/>
      <c r="C13" s="209"/>
      <c r="D13" s="212">
        <f>WeeklyIncome[[#Totals],[LOOSE OFFERING]]</f>
        <v>224.5</v>
      </c>
    </row>
    <row r="14" spans="1:22" x14ac:dyDescent="0.35">
      <c r="A14" s="208" t="str">
        <f>WeeklyIncome[[#Headers],[EXPENSES OFFERING]]</f>
        <v>EXPENSES OFFERING</v>
      </c>
      <c r="B14" s="209"/>
      <c r="C14" s="209"/>
      <c r="D14" s="212">
        <f>WeeklyIncome[[#Totals],[EXPENSES OFFERING]]</f>
        <v>574.1</v>
      </c>
    </row>
    <row r="15" spans="1:22" x14ac:dyDescent="0.35">
      <c r="A15" s="208" t="str">
        <f>WeeklyIncome[[#Headers],[WELFARE DUES]]</f>
        <v>WELFARE DUES</v>
      </c>
      <c r="B15" s="209"/>
      <c r="C15" s="209"/>
      <c r="D15" s="212">
        <f>WeeklyIncome[[#Totals],[WELFARE DUES]]</f>
        <v>532</v>
      </c>
    </row>
    <row r="16" spans="1:22" x14ac:dyDescent="0.35">
      <c r="A16" s="208" t="str">
        <f>WeeklyIncome[[#Headers],[HARVEST]]</f>
        <v>HARVEST</v>
      </c>
      <c r="B16" s="209"/>
      <c r="C16" s="209"/>
      <c r="D16" s="212">
        <f>WeeklyIncome[[#Totals],[HARVEST]]</f>
        <v>0</v>
      </c>
      <c r="E16" s="175"/>
      <c r="F16" s="175"/>
      <c r="G16" s="175"/>
    </row>
    <row r="17" spans="1:32" x14ac:dyDescent="0.35">
      <c r="A17" s="208" t="str">
        <f>WeeklyIncome[[#Headers],[SELLING OF TREES]]</f>
        <v>SELLING OF TREES</v>
      </c>
      <c r="B17" s="209"/>
      <c r="C17" s="209"/>
      <c r="D17" s="212">
        <f>WeeklyIncome[[#Totals],[SELLING OF TREES]]</f>
        <v>0</v>
      </c>
      <c r="E17" s="175"/>
      <c r="F17" s="175"/>
      <c r="G17" s="175"/>
    </row>
    <row r="18" spans="1:32" x14ac:dyDescent="0.35">
      <c r="A18" s="208" t="str">
        <f>WeeklyIncome[[#Headers],[BIBLE SOCIETY HARVEST]]</f>
        <v>BIBLE SOCIETY HARVEST</v>
      </c>
      <c r="B18" s="209"/>
      <c r="C18" s="209"/>
      <c r="D18" s="212">
        <f>WeeklyIncome[[#Totals],[BIBLE SOCIETY HARVEST]]</f>
        <v>0</v>
      </c>
      <c r="E18" s="175"/>
      <c r="F18" s="175"/>
      <c r="G18" s="175"/>
    </row>
    <row r="19" spans="1:32" x14ac:dyDescent="0.35">
      <c r="A19" s="208" t="str">
        <f>WeeklyIncome[[#Headers],[DONATIONS]]</f>
        <v>DONATIONS</v>
      </c>
      <c r="B19" s="209"/>
      <c r="C19" s="209"/>
      <c r="D19" s="212">
        <f>WeeklyIncome[[#Totals],[DONATIONS]]</f>
        <v>600</v>
      </c>
      <c r="E19" s="175"/>
      <c r="F19" s="175"/>
      <c r="G19" s="175"/>
    </row>
    <row r="20" spans="1:32" x14ac:dyDescent="0.35">
      <c r="A20" s="208" t="str">
        <f>WeeklyIncome[[#Headers],[FUND RAISING / SPECIAL HARVEST]]</f>
        <v>FUND RAISING / SPECIAL HARVEST</v>
      </c>
      <c r="B20" s="209"/>
      <c r="C20" s="209"/>
      <c r="D20" s="212">
        <f>WeeklyIncome[[#Totals],[FUND RAISING / SPECIAL HARVEST]]</f>
        <v>1435</v>
      </c>
      <c r="E20" s="175"/>
      <c r="F20" s="175"/>
      <c r="G20" s="175"/>
    </row>
    <row r="21" spans="1:32" x14ac:dyDescent="0.35">
      <c r="A21" s="208" t="str">
        <f>WeeklyIncome[[#Headers],[CARE FOR THE AGED FUND]]</f>
        <v>CARE FOR THE AGED FUND</v>
      </c>
      <c r="B21" s="209"/>
      <c r="C21" s="209"/>
      <c r="D21" s="212">
        <f>WeeklyIncome[[#Totals],[CARE FOR THE AGED FUND]]</f>
        <v>0</v>
      </c>
      <c r="E21" s="175"/>
      <c r="F21" s="175"/>
      <c r="G21" s="175"/>
    </row>
    <row r="22" spans="1:32" x14ac:dyDescent="0.35">
      <c r="A22" s="208" t="str">
        <f>WeeklyIncome[[#Headers],[ZONAL CONTRIBUTION]]</f>
        <v>ZONAL CONTRIBUTION</v>
      </c>
      <c r="B22" s="209"/>
      <c r="C22" s="209"/>
      <c r="D22" s="212">
        <f>WeeklyIncome[[#Totals],[ZONAL CONTRIBUTION]]</f>
        <v>237</v>
      </c>
      <c r="E22" s="175"/>
      <c r="F22" s="175"/>
      <c r="G22" s="175"/>
    </row>
    <row r="23" spans="1:32" x14ac:dyDescent="0.35">
      <c r="A23" s="208" t="str">
        <f>WeeklyIncome[[#Headers],[LORD''S SUPPER]]</f>
        <v>LORD'S SUPPER</v>
      </c>
      <c r="B23" s="209"/>
      <c r="C23" s="209"/>
      <c r="D23" s="212">
        <f>WeeklyIncome[[#Totals],[LORD''S SUPPER]]</f>
        <v>0</v>
      </c>
    </row>
    <row r="24" spans="1:32" x14ac:dyDescent="0.35">
      <c r="A24" s="208" t="str">
        <f>WeeklyIncome[[#Headers],[AMM HARVEST]]</f>
        <v>AMM HARVEST</v>
      </c>
      <c r="B24" s="209"/>
      <c r="C24" s="209"/>
      <c r="D24" s="212">
        <f>WeeklyIncome[[#Totals],[AMM HARVEST]]</f>
        <v>0</v>
      </c>
    </row>
    <row r="25" spans="1:32" x14ac:dyDescent="0.35">
      <c r="A25" s="208" t="str">
        <f>WeeklyIncome[[#Headers],[HOME COMING]]</f>
        <v>HOME COMING</v>
      </c>
      <c r="B25" s="209"/>
      <c r="C25" s="209"/>
      <c r="D25" s="212">
        <f>WeeklyIncome[[#Totals],[HOME COMING]]</f>
        <v>0</v>
      </c>
    </row>
    <row r="26" spans="1:32" x14ac:dyDescent="0.35">
      <c r="A26" s="208" t="str">
        <f>WeeklyIncome[[#Headers],[CHOIR]]</f>
        <v>CHOIR</v>
      </c>
      <c r="B26" s="209"/>
      <c r="C26" s="209"/>
      <c r="D26" s="212">
        <f>WeeklyIncome[[#Totals],[CHOIR]]</f>
        <v>0</v>
      </c>
      <c r="P26" s="187"/>
      <c r="Q26" s="187"/>
      <c r="R26" s="187"/>
      <c r="S26" s="187"/>
      <c r="T26" s="187"/>
      <c r="U26" s="187"/>
      <c r="V26" s="187"/>
      <c r="W26" s="187"/>
      <c r="X26" s="187"/>
      <c r="Y26" s="187"/>
      <c r="Z26" s="187"/>
      <c r="AA26" s="187"/>
      <c r="AB26" s="187"/>
      <c r="AC26" s="187"/>
      <c r="AD26" s="187"/>
      <c r="AE26" s="187"/>
      <c r="AF26" s="187"/>
    </row>
    <row r="27" spans="1:32" customFormat="1" x14ac:dyDescent="0.35">
      <c r="A27" s="208" t="str">
        <f>WeeklyIncome[[#Headers],[SINGING BAND]]</f>
        <v>SINGING BAND</v>
      </c>
      <c r="B27" s="209"/>
      <c r="C27" s="209"/>
      <c r="D27" s="212">
        <f>WeeklyIncome[[#Totals],[SINGING BAND]]</f>
        <v>0</v>
      </c>
    </row>
    <row r="28" spans="1:32" customFormat="1" x14ac:dyDescent="0.35">
      <c r="A28" s="208" t="str">
        <f>WeeklyIncome[[#Headers],[NURSERY]]</f>
        <v>NURSERY</v>
      </c>
      <c r="B28" s="209"/>
      <c r="C28" s="209"/>
      <c r="D28" s="212">
        <f>WeeklyIncome[[#Totals],[NURSERY]]</f>
        <v>0</v>
      </c>
      <c r="E28" s="183"/>
    </row>
    <row r="29" spans="1:32" ht="23.25" x14ac:dyDescent="0.5">
      <c r="A29" s="208" t="str">
        <f>WeeklyIncome[[#Headers],[ANNUAL HARVEST]]</f>
        <v>ANNUAL HARVEST</v>
      </c>
      <c r="B29" s="209"/>
      <c r="C29" s="209"/>
      <c r="D29" s="213">
        <f>WeeklyIncome[[#Totals],[ANNUAL HARVEST]]</f>
        <v>0</v>
      </c>
    </row>
    <row r="30" spans="1:32" ht="25.5" x14ac:dyDescent="0.5">
      <c r="A30" s="214" t="s">
        <v>154</v>
      </c>
      <c r="B30" s="209"/>
      <c r="C30" s="209"/>
      <c r="D30" s="215">
        <f>SUBTOTAL(109,D6:D29)</f>
        <v>6024.6</v>
      </c>
    </row>
    <row r="31" spans="1:32" x14ac:dyDescent="0.35">
      <c r="A31" s="34" t="s">
        <v>67</v>
      </c>
      <c r="B31" s="209"/>
      <c r="C31" s="209"/>
      <c r="D31" s="207"/>
    </row>
    <row r="32" spans="1:32" x14ac:dyDescent="0.35">
      <c r="A32" s="34" t="s">
        <v>22</v>
      </c>
      <c r="B32" s="209"/>
      <c r="C32" s="216"/>
      <c r="D32" s="217">
        <f>SUM(C33:C39)</f>
        <v>2012</v>
      </c>
    </row>
    <row r="33" spans="1:9" x14ac:dyDescent="0.35">
      <c r="A33" s="218" t="s">
        <v>0</v>
      </c>
      <c r="B33" s="209"/>
      <c r="C33" s="209">
        <f>D10</f>
        <v>1589</v>
      </c>
      <c r="D33" s="210"/>
    </row>
    <row r="34" spans="1:9" x14ac:dyDescent="0.35">
      <c r="A34" s="218" t="s">
        <v>1</v>
      </c>
      <c r="B34" s="209"/>
      <c r="C34" s="209">
        <f>PRODUCT(D11*0.4)</f>
        <v>271.2</v>
      </c>
      <c r="D34" s="210"/>
    </row>
    <row r="35" spans="1:9" x14ac:dyDescent="0.35">
      <c r="A35" s="218" t="s">
        <v>2</v>
      </c>
      <c r="B35" s="209"/>
      <c r="C35" s="209">
        <f>PRODUCT(D12*0.4)</f>
        <v>62</v>
      </c>
      <c r="D35" s="210"/>
    </row>
    <row r="36" spans="1:9" x14ac:dyDescent="0.35">
      <c r="A36" s="218" t="s">
        <v>3</v>
      </c>
      <c r="B36" s="209"/>
      <c r="C36" s="209">
        <f>PRODUCT(D13*0.4)</f>
        <v>89.800000000000011</v>
      </c>
      <c r="D36" s="219"/>
    </row>
    <row r="37" spans="1:9" x14ac:dyDescent="0.35">
      <c r="A37" s="208" t="s">
        <v>68</v>
      </c>
      <c r="B37" s="209"/>
      <c r="C37" s="209">
        <v>0</v>
      </c>
      <c r="D37" s="210"/>
    </row>
    <row r="38" spans="1:9" x14ac:dyDescent="0.35">
      <c r="A38" s="208" t="s">
        <v>6</v>
      </c>
      <c r="B38" s="209"/>
      <c r="C38" s="209">
        <f>D29*0.1</f>
        <v>0</v>
      </c>
      <c r="D38" s="210"/>
    </row>
    <row r="39" spans="1:9" x14ac:dyDescent="0.35">
      <c r="A39" s="218" t="s">
        <v>28</v>
      </c>
      <c r="B39" s="209"/>
      <c r="C39" s="209">
        <f>D18/3</f>
        <v>0</v>
      </c>
      <c r="D39" s="207"/>
    </row>
    <row r="40" spans="1:9" x14ac:dyDescent="0.35">
      <c r="A40" s="34" t="s">
        <v>23</v>
      </c>
      <c r="B40" s="209"/>
      <c r="C40" s="216"/>
      <c r="D40" s="217">
        <f>SUM(C41:C45)</f>
        <v>105.75</v>
      </c>
    </row>
    <row r="41" spans="1:9" x14ac:dyDescent="0.35">
      <c r="A41" s="218" t="s">
        <v>1</v>
      </c>
      <c r="B41" s="209"/>
      <c r="C41" s="209">
        <f>PRODUCT(D11*0.1)</f>
        <v>67.8</v>
      </c>
      <c r="D41" s="210"/>
    </row>
    <row r="42" spans="1:9" x14ac:dyDescent="0.35">
      <c r="A42" s="218" t="s">
        <v>2</v>
      </c>
      <c r="B42" s="209"/>
      <c r="C42" s="209">
        <f>PRODUCT(D12*0.1)</f>
        <v>15.5</v>
      </c>
      <c r="D42" s="210"/>
    </row>
    <row r="43" spans="1:9" x14ac:dyDescent="0.35">
      <c r="A43" s="218" t="s">
        <v>3</v>
      </c>
      <c r="B43" s="209"/>
      <c r="C43" s="209">
        <f>PRODUCT(D13*0.1)</f>
        <v>22.450000000000003</v>
      </c>
      <c r="D43" s="210"/>
    </row>
    <row r="44" spans="1:9" x14ac:dyDescent="0.35">
      <c r="A44" s="218" t="s">
        <v>6</v>
      </c>
      <c r="B44" s="209"/>
      <c r="C44" s="209">
        <f>D29*0.1</f>
        <v>0</v>
      </c>
      <c r="D44" s="210"/>
    </row>
    <row r="45" spans="1:9" x14ac:dyDescent="0.35">
      <c r="A45" s="218" t="s">
        <v>28</v>
      </c>
      <c r="B45" s="209"/>
      <c r="C45" s="209">
        <f>PRODUCT(D18/3)</f>
        <v>0</v>
      </c>
      <c r="D45" s="207"/>
    </row>
    <row r="46" spans="1:9" x14ac:dyDescent="0.35">
      <c r="A46" s="34" t="s">
        <v>142</v>
      </c>
      <c r="B46" s="209"/>
      <c r="C46" s="209"/>
      <c r="D46" s="220">
        <f>SUM(C47:C69)</f>
        <v>3906.85</v>
      </c>
      <c r="E46" s="189"/>
      <c r="I46" s="188"/>
    </row>
    <row r="47" spans="1:9" x14ac:dyDescent="0.35">
      <c r="A47" s="208" t="s">
        <v>65</v>
      </c>
      <c r="B47" s="209"/>
      <c r="C47" s="209">
        <f>D8</f>
        <v>0</v>
      </c>
      <c r="D47" s="220"/>
      <c r="E47" s="189"/>
      <c r="I47" s="188"/>
    </row>
    <row r="48" spans="1:9" x14ac:dyDescent="0.35">
      <c r="A48" s="208" t="s">
        <v>66</v>
      </c>
      <c r="B48" s="209"/>
      <c r="C48" s="221">
        <f>WeeklyIncome[[#Totals],[RENT]]</f>
        <v>0</v>
      </c>
      <c r="D48" s="222"/>
    </row>
    <row r="49" spans="1:13" x14ac:dyDescent="0.35">
      <c r="A49" s="208" t="str">
        <f>WeeklyIncome[[#Headers],[SYSTEMATIC OFFERING]]</f>
        <v>SYSTEMATIC OFFERING</v>
      </c>
      <c r="B49" s="209"/>
      <c r="C49" s="221">
        <f>PRODUCT(D11*0.5)</f>
        <v>339</v>
      </c>
      <c r="D49" s="222"/>
    </row>
    <row r="50" spans="1:13" x14ac:dyDescent="0.35">
      <c r="A50" s="208" t="str">
        <f>WeeklyIncome[[#Headers],[THANKS OFFERING]]</f>
        <v>THANKS OFFERING</v>
      </c>
      <c r="B50" s="209"/>
      <c r="C50" s="221">
        <f t="shared" ref="C50:C51" si="0">PRODUCT(D12*0.5)</f>
        <v>77.5</v>
      </c>
      <c r="D50" s="222"/>
    </row>
    <row r="51" spans="1:13" x14ac:dyDescent="0.35">
      <c r="A51" s="208" t="str">
        <f>WeeklyIncome[[#Headers],[LOOSE OFFERING]]</f>
        <v>LOOSE OFFERING</v>
      </c>
      <c r="B51" s="209"/>
      <c r="C51" s="221">
        <f t="shared" si="0"/>
        <v>112.25</v>
      </c>
      <c r="D51" s="222"/>
    </row>
    <row r="52" spans="1:13" x14ac:dyDescent="0.35">
      <c r="A52" s="208" t="str">
        <f>WeeklyIncome[[#Headers],[EXPENSES OFFERING]]</f>
        <v>EXPENSES OFFERING</v>
      </c>
      <c r="B52" s="209"/>
      <c r="C52" s="221">
        <f>WeeklyIncome[[#Totals],[EXPENSES OFFERING]]</f>
        <v>574.1</v>
      </c>
      <c r="D52" s="222"/>
    </row>
    <row r="53" spans="1:13" x14ac:dyDescent="0.35">
      <c r="A53" s="208" t="str">
        <f>WeeklyIncome[[#Headers],[WELFARE DUES]]</f>
        <v>WELFARE DUES</v>
      </c>
      <c r="B53" s="209"/>
      <c r="C53" s="221">
        <f>WeeklyIncome[[#Totals],[WELFARE DUES]]</f>
        <v>532</v>
      </c>
      <c r="D53" s="222"/>
    </row>
    <row r="54" spans="1:13" x14ac:dyDescent="0.35">
      <c r="A54" s="208" t="str">
        <f>WeeklyIncome[[#Headers],[HARVEST]]</f>
        <v>HARVEST</v>
      </c>
      <c r="B54" s="209"/>
      <c r="C54" s="221">
        <f>WeeklyIncome[[#Totals],[HARVEST]]</f>
        <v>0</v>
      </c>
      <c r="D54" s="222"/>
    </row>
    <row r="55" spans="1:13" x14ac:dyDescent="0.35">
      <c r="A55" s="208" t="str">
        <f>WeeklyIncome[[#Headers],[SELLING OF TREES]]</f>
        <v>SELLING OF TREES</v>
      </c>
      <c r="B55" s="209"/>
      <c r="C55" s="221">
        <f>WeeklyIncome[[#Totals],[SELLING OF TREES]]</f>
        <v>0</v>
      </c>
      <c r="D55" s="222"/>
    </row>
    <row r="56" spans="1:13" x14ac:dyDescent="0.35">
      <c r="A56" s="208" t="str">
        <f>WeeklyIncome[[#Headers],[BIBLE SOCIETY HARVEST]]</f>
        <v>BIBLE SOCIETY HARVEST</v>
      </c>
      <c r="B56" s="209"/>
      <c r="C56" s="209">
        <f>PRODUCT(D18/3)</f>
        <v>0</v>
      </c>
      <c r="D56" s="222"/>
    </row>
    <row r="57" spans="1:13" x14ac:dyDescent="0.35">
      <c r="A57" s="208" t="str">
        <f>WeeklyIncome[[#Headers],[DONATIONS]]</f>
        <v>DONATIONS</v>
      </c>
      <c r="B57" s="209"/>
      <c r="C57" s="221">
        <f>WeeklyIncome[[#Totals],[DONATIONS]]</f>
        <v>600</v>
      </c>
      <c r="D57" s="222"/>
    </row>
    <row r="58" spans="1:13" x14ac:dyDescent="0.35">
      <c r="A58" s="208" t="str">
        <f>WeeklyIncome[[#Headers],[FUND RAISING / SPECIAL HARVEST]]</f>
        <v>FUND RAISING / SPECIAL HARVEST</v>
      </c>
      <c r="B58" s="209"/>
      <c r="C58" s="221">
        <f>WeeklyIncome[[#Totals],[FUND RAISING / SPECIAL HARVEST]]</f>
        <v>1435</v>
      </c>
      <c r="D58" s="222"/>
    </row>
    <row r="59" spans="1:13" x14ac:dyDescent="0.35">
      <c r="A59" s="208" t="str">
        <f>WeeklyIncome[[#Headers],[ZONAL CONTRIBUTION]]</f>
        <v>ZONAL CONTRIBUTION</v>
      </c>
      <c r="B59" s="209"/>
      <c r="C59" s="221">
        <f>WeeklyIncome[[#Totals],[ZONAL CONTRIBUTION]]</f>
        <v>237</v>
      </c>
      <c r="D59" s="222"/>
    </row>
    <row r="60" spans="1:13" x14ac:dyDescent="0.35">
      <c r="A60" s="208" t="str">
        <f>WeeklyIncome[[#Headers],[LORD''S SUPPER]]</f>
        <v>LORD'S SUPPER</v>
      </c>
      <c r="B60" s="209"/>
      <c r="C60" s="221">
        <f>WeeklyIncome[[#Totals],[LORD''S SUPPER]]</f>
        <v>0</v>
      </c>
      <c r="D60" s="222"/>
    </row>
    <row r="61" spans="1:13" x14ac:dyDescent="0.35">
      <c r="A61" s="208" t="str">
        <f>WeeklyIncome[[#Headers],[AMM HARVEST]]</f>
        <v>AMM HARVEST</v>
      </c>
      <c r="B61" s="209"/>
      <c r="C61" s="221">
        <f>WeeklyIncome[[#Totals],[AMM HARVEST]]</f>
        <v>0</v>
      </c>
      <c r="D61" s="222"/>
    </row>
    <row r="62" spans="1:13" x14ac:dyDescent="0.35">
      <c r="A62" s="208" t="str">
        <f>WeeklyIncome[[#Headers],[HOME COMING]]</f>
        <v>HOME COMING</v>
      </c>
      <c r="B62" s="209"/>
      <c r="C62" s="221">
        <f>WeeklyIncome[[#Totals],[HOME COMING]]</f>
        <v>0</v>
      </c>
      <c r="D62" s="222"/>
    </row>
    <row r="63" spans="1:13" x14ac:dyDescent="0.35">
      <c r="A63" s="208" t="str">
        <f>WeeklyIncome[[#Headers],[CARE FOR THE AGED FUND]]</f>
        <v>CARE FOR THE AGED FUND</v>
      </c>
      <c r="B63" s="209"/>
      <c r="C63" s="221">
        <f>WeeklyIncome[[#Totals],[CARE FOR THE AGED FUND]]</f>
        <v>0</v>
      </c>
      <c r="D63" s="222"/>
    </row>
    <row r="64" spans="1:13" x14ac:dyDescent="0.35">
      <c r="A64" s="208" t="str">
        <f>WeeklyIncome[[#Headers],[CAMP MEETING]]</f>
        <v>CAMP MEETING</v>
      </c>
      <c r="B64" s="209"/>
      <c r="C64" s="221">
        <f>WeeklyIncome[[#Totals],[CAMP MEETING]]</f>
        <v>0</v>
      </c>
      <c r="D64" s="222"/>
      <c r="I64" s="175"/>
      <c r="J64" s="175"/>
      <c r="K64" s="175"/>
      <c r="L64" s="175"/>
      <c r="M64" s="188"/>
    </row>
    <row r="65" spans="1:13" x14ac:dyDescent="0.35">
      <c r="A65" s="208" t="str">
        <f>WeeklyIncome[[#Headers],[CHOIR]]</f>
        <v>CHOIR</v>
      </c>
      <c r="B65" s="209"/>
      <c r="C65" s="221">
        <f>WeeklyIncome[[#Totals],[CHOIR]]</f>
        <v>0</v>
      </c>
      <c r="D65" s="222"/>
      <c r="I65" s="175"/>
      <c r="J65" s="175"/>
      <c r="K65" s="175"/>
      <c r="L65" s="175"/>
      <c r="M65" s="188"/>
    </row>
    <row r="66" spans="1:13" x14ac:dyDescent="0.35">
      <c r="A66" s="208" t="str">
        <f>WeeklyIncome[[#Headers],[SINGING BAND]]</f>
        <v>SINGING BAND</v>
      </c>
      <c r="B66" s="209"/>
      <c r="C66" s="221">
        <f>WeeklyIncome[[#Totals],[SINGING BAND]]</f>
        <v>0</v>
      </c>
      <c r="D66" s="222"/>
      <c r="I66" s="175"/>
      <c r="J66" s="175"/>
      <c r="K66" s="175"/>
      <c r="L66" s="175"/>
      <c r="M66" s="188"/>
    </row>
    <row r="67" spans="1:13" x14ac:dyDescent="0.35">
      <c r="A67" s="208" t="str">
        <f>WeeklyIncome[[#Headers],[WOMEN MINISTRY HARVEST]]</f>
        <v>WOMEN MINISTRY HARVEST</v>
      </c>
      <c r="B67" s="209"/>
      <c r="C67" s="221">
        <f>WeeklyIncome[[#Totals],[WOMEN MINISTRY HARVEST]]</f>
        <v>0</v>
      </c>
      <c r="D67" s="222"/>
      <c r="I67" s="175"/>
      <c r="J67" s="175"/>
      <c r="K67" s="175"/>
      <c r="L67" s="175"/>
      <c r="M67" s="188"/>
    </row>
    <row r="68" spans="1:13" x14ac:dyDescent="0.35">
      <c r="A68" s="208" t="str">
        <f>WeeklyIncome[[#Headers],[NURSERY]]</f>
        <v>NURSERY</v>
      </c>
      <c r="B68" s="209"/>
      <c r="C68" s="221">
        <f>WeeklyIncome[[#Totals],[NURSERY]]</f>
        <v>0</v>
      </c>
      <c r="D68" s="222"/>
      <c r="I68" s="175"/>
      <c r="J68" s="175"/>
      <c r="K68" s="175"/>
      <c r="L68" s="175"/>
    </row>
    <row r="69" spans="1:13" ht="23.25" x14ac:dyDescent="0.5">
      <c r="A69" s="208" t="str">
        <f>WeeklyIncome[[#Headers],[ANNUAL HARVEST]]</f>
        <v>ANNUAL HARVEST</v>
      </c>
      <c r="B69" s="209"/>
      <c r="C69" s="223">
        <f>PRODUCT(D29*0.8)</f>
        <v>0</v>
      </c>
      <c r="D69" s="207"/>
      <c r="I69" s="175"/>
      <c r="J69" s="175"/>
      <c r="K69" s="175"/>
      <c r="L69" s="175"/>
    </row>
    <row r="70" spans="1:13" ht="21" customHeight="1" x14ac:dyDescent="0.55000000000000004">
      <c r="A70" s="224" t="s">
        <v>155</v>
      </c>
      <c r="B70" s="209"/>
      <c r="C70" s="223"/>
      <c r="D70" s="225">
        <f>SUM(D46,D40,D32)</f>
        <v>6024.6</v>
      </c>
      <c r="I70" s="175"/>
      <c r="J70" s="175"/>
      <c r="K70" s="175"/>
      <c r="L70" s="175"/>
    </row>
    <row r="71" spans="1:13" ht="27.75" x14ac:dyDescent="0.5">
      <c r="A71" s="208"/>
      <c r="B71" s="209"/>
      <c r="C71" s="223"/>
      <c r="D71" s="226"/>
      <c r="I71" s="175"/>
      <c r="J71" s="175"/>
      <c r="K71" s="175"/>
      <c r="L71" s="175"/>
    </row>
    <row r="72" spans="1:13" ht="23.25" x14ac:dyDescent="0.5">
      <c r="A72" s="227" t="s">
        <v>143</v>
      </c>
      <c r="B72" s="209"/>
      <c r="C72" s="223"/>
      <c r="D72" s="222"/>
      <c r="I72" s="175"/>
      <c r="J72" s="175"/>
      <c r="K72" s="175"/>
      <c r="L72" s="175"/>
    </row>
    <row r="73" spans="1:13" ht="23.25" x14ac:dyDescent="0.5">
      <c r="A73" s="208" t="s">
        <v>156</v>
      </c>
      <c r="B73" s="209"/>
      <c r="C73" s="228"/>
      <c r="D73" s="222"/>
      <c r="I73" s="175"/>
      <c r="J73" s="175"/>
      <c r="K73" s="175"/>
      <c r="L73" s="175"/>
    </row>
    <row r="74" spans="1:13" ht="23.25" x14ac:dyDescent="0.5">
      <c r="A74" s="208" t="s">
        <v>158</v>
      </c>
      <c r="B74" s="209"/>
      <c r="C74" s="228"/>
      <c r="D74" s="229">
        <f>D32+WeeklyExpenditure[[#Totals],[CONFERENCE FUND]]</f>
        <v>2012</v>
      </c>
      <c r="I74" s="175"/>
      <c r="J74" s="175"/>
      <c r="K74" s="175"/>
      <c r="L74" s="175"/>
    </row>
    <row r="75" spans="1:13" ht="23.25" x14ac:dyDescent="0.5">
      <c r="A75" s="208" t="s">
        <v>159</v>
      </c>
      <c r="B75" s="209"/>
      <c r="C75" s="228"/>
      <c r="D75" s="229">
        <f>D40+WeeklyExpenditure[[#Totals],[DISTRICT FUND]]</f>
        <v>105.75</v>
      </c>
    </row>
    <row r="76" spans="1:13" s="175" customFormat="1" ht="28.5" x14ac:dyDescent="0.55000000000000004">
      <c r="A76" s="230" t="s">
        <v>7</v>
      </c>
      <c r="B76" s="231"/>
      <c r="C76" s="232"/>
      <c r="D76" s="233">
        <f>SUM(D74:D75)</f>
        <v>2117.75</v>
      </c>
    </row>
    <row r="77" spans="1:13" x14ac:dyDescent="0.35">
      <c r="A77"/>
      <c r="B77"/>
      <c r="C77"/>
      <c r="D77"/>
    </row>
    <row r="78" spans="1:13" x14ac:dyDescent="0.35">
      <c r="A78" t="s">
        <v>157</v>
      </c>
      <c r="B78" s="234" t="s">
        <v>57</v>
      </c>
      <c r="C78" s="235" t="s">
        <v>96</v>
      </c>
      <c r="D78" s="206" t="s">
        <v>97</v>
      </c>
    </row>
    <row r="79" spans="1:13" ht="23.25" x14ac:dyDescent="0.5">
      <c r="A79" s="236" t="s">
        <v>110</v>
      </c>
      <c r="B79" s="209"/>
      <c r="C79" s="228"/>
      <c r="D79" s="222"/>
      <c r="J79" s="190"/>
    </row>
    <row r="80" spans="1:13" ht="24.75" customHeight="1" x14ac:dyDescent="0.5">
      <c r="A80" s="34" t="s">
        <v>142</v>
      </c>
      <c r="B80" s="209"/>
      <c r="C80" s="228"/>
      <c r="D80" s="220">
        <f>D46</f>
        <v>3906.85</v>
      </c>
      <c r="J80" s="190"/>
    </row>
    <row r="81" spans="1:4" ht="23.25" x14ac:dyDescent="0.5">
      <c r="A81" s="34" t="s">
        <v>153</v>
      </c>
      <c r="B81" s="209"/>
      <c r="C81" s="228"/>
      <c r="D81" s="220">
        <f>SUM(C82:C117)</f>
        <v>2416</v>
      </c>
    </row>
    <row r="82" spans="1:4" x14ac:dyDescent="0.35">
      <c r="A82" s="208" t="str">
        <f>WeeklyExpenditure[[#Headers],[FOOD, WATER AND DRINKS]]</f>
        <v>FOOD, WATER AND DRINKS</v>
      </c>
      <c r="B82" s="209"/>
      <c r="C82" s="221">
        <f>WeeklyExpenditure[[#Totals],[FOOD, WATER AND DRINKS]]</f>
        <v>353</v>
      </c>
      <c r="D82" s="207"/>
    </row>
    <row r="83" spans="1:4" x14ac:dyDescent="0.35">
      <c r="A83" s="208" t="str">
        <f>WeeklyExpenditure[[#Headers],[COVID 19  ITEMS]]</f>
        <v>COVID 19  ITEMS</v>
      </c>
      <c r="B83" s="209"/>
      <c r="C83" s="221">
        <f>WeeklyExpenditure[[#Totals],[COVID 19  ITEMS]]</f>
        <v>110</v>
      </c>
      <c r="D83" s="207"/>
    </row>
    <row r="84" spans="1:4" x14ac:dyDescent="0.35">
      <c r="A84" s="208" t="str">
        <f>WeeklyExpenditure[[#Headers],[TRANSPORTATION]]</f>
        <v>TRANSPORTATION</v>
      </c>
      <c r="B84" s="209"/>
      <c r="C84" s="221">
        <f>WeeklyExpenditure[[#Totals],[TRANSPORTATION]]</f>
        <v>20</v>
      </c>
      <c r="D84" s="207"/>
    </row>
    <row r="85" spans="1:4" s="191" customFormat="1" ht="23.25" customHeight="1" x14ac:dyDescent="0.4">
      <c r="A85" s="208" t="str">
        <f>WeeklyExpenditure[[#Headers],[DONATION]]</f>
        <v>DONATION</v>
      </c>
      <c r="B85" s="209"/>
      <c r="C85" s="221">
        <f>WeeklyExpenditure[[#Totals],[DONATION]]</f>
        <v>150</v>
      </c>
      <c r="D85" s="207"/>
    </row>
    <row r="86" spans="1:4" x14ac:dyDescent="0.35">
      <c r="A86" s="208" t="str">
        <f>WeeklyExpenditure[[#Headers],[PRINTING &amp; BOOKS]]</f>
        <v>PRINTING &amp; BOOKS</v>
      </c>
      <c r="B86" s="209"/>
      <c r="C86" s="221">
        <f>WeeklyExpenditure[[#Totals],[PRINTING &amp; BOOKS]]</f>
        <v>150</v>
      </c>
      <c r="D86" s="207"/>
    </row>
    <row r="87" spans="1:4" x14ac:dyDescent="0.35">
      <c r="A87" s="208" t="str">
        <f>WeeklyExpenditure[[#Headers],[NURSERY]]</f>
        <v>NURSERY</v>
      </c>
      <c r="B87" s="209"/>
      <c r="C87" s="221">
        <f>WeeklyExpenditure[[#Totals],[NURSERY]]</f>
        <v>0</v>
      </c>
      <c r="D87" s="207"/>
    </row>
    <row r="88" spans="1:4" x14ac:dyDescent="0.35">
      <c r="A88" s="208" t="str">
        <f>WeeklyExpenditure[[#Headers],[SABBATH SCHOOL]]</f>
        <v>SABBATH SCHOOL</v>
      </c>
      <c r="B88" s="209"/>
      <c r="C88" s="221">
        <f>WeeklyExpenditure[[#Totals],[SABBATH SCHOOL]]</f>
        <v>0</v>
      </c>
      <c r="D88" s="207"/>
    </row>
    <row r="89" spans="1:4" x14ac:dyDescent="0.35">
      <c r="A89" s="208" t="str">
        <f>WeeklyExpenditure[[#Headers],[RENOVATION TEACHERS BUNGALOW]]</f>
        <v>RENOVATION TEACHERS BUNGALOW</v>
      </c>
      <c r="B89" s="209"/>
      <c r="C89" s="221">
        <f>WeeklyExpenditure[[#Totals],[RENOVATION TEACHERS BUNGALOW]]</f>
        <v>0</v>
      </c>
      <c r="D89" s="207"/>
    </row>
    <row r="90" spans="1:4" x14ac:dyDescent="0.35">
      <c r="A90" s="208" t="str">
        <f>WeeklyExpenditure[[#Headers],[MECHANISED WATER PROJECT]]</f>
        <v>MECHANISED WATER PROJECT</v>
      </c>
      <c r="B90" s="209"/>
      <c r="C90" s="221">
        <f>WeeklyExpenditure[[#Totals],[MECHANISED WATER PROJECT]]</f>
        <v>0</v>
      </c>
      <c r="D90" s="207"/>
    </row>
    <row r="91" spans="1:4" x14ac:dyDescent="0.35">
      <c r="A91" s="208" t="str">
        <f>WeeklyExpenditure[[#Headers],[WAGES (NURSERY)]]</f>
        <v>WAGES (NURSERY)</v>
      </c>
      <c r="B91" s="209"/>
      <c r="C91" s="221">
        <f>WeeklyExpenditure[[#Totals],[WAGES (NURSERY)]]</f>
        <v>0</v>
      </c>
      <c r="D91" s="207"/>
    </row>
    <row r="92" spans="1:4" x14ac:dyDescent="0.35">
      <c r="A92" s="208" t="str">
        <f>WeeklyExpenditure[[#Headers],[BEAUTIFICATION OF CHURCH &amp; SCHOOL COMPOUND]]</f>
        <v>BEAUTIFICATION OF CHURCH &amp; SCHOOL COMPOUND</v>
      </c>
      <c r="B92" s="209"/>
      <c r="C92" s="221">
        <f>WeeklyExpenditure[[#Totals],[BEAUTIFICATION OF CHURCH &amp; SCHOOL COMPOUND]]</f>
        <v>0</v>
      </c>
      <c r="D92" s="207"/>
    </row>
    <row r="93" spans="1:4" x14ac:dyDescent="0.35">
      <c r="A93" s="208" t="str">
        <f>WeeklyExpenditure[[#Headers],[AYS (T&amp;T, Others)]]</f>
        <v>AYS (T&amp;T, Others)</v>
      </c>
      <c r="B93" s="209"/>
      <c r="C93" s="221">
        <f>WeeklyExpenditure[[#Totals],[AYS (T&amp;T, Others)]]</f>
        <v>0</v>
      </c>
      <c r="D93" s="207"/>
    </row>
    <row r="94" spans="1:4" x14ac:dyDescent="0.35">
      <c r="A94" s="208" t="str">
        <f>WeeklyExpenditure[[#Headers],[CHOIR (T&amp;T, Others]]</f>
        <v>CHOIR (T&amp;T, Others</v>
      </c>
      <c r="B94" s="209"/>
      <c r="C94" s="221">
        <f>WeeklyExpenditure[[#Totals],[CHOIR (T&amp;T, Others]]</f>
        <v>0</v>
      </c>
      <c r="D94" s="207"/>
    </row>
    <row r="95" spans="1:4" x14ac:dyDescent="0.35">
      <c r="A95" s="208" t="str">
        <f>WeeklyExpenditure[[#Headers],[SINGING BAND (T&amp;T, Others)]]</f>
        <v>SINGING BAND (T&amp;T, Others)</v>
      </c>
      <c r="B95" s="209"/>
      <c r="C95" s="221">
        <f>WeeklyExpenditure[[#Totals],[SINGING BAND (T&amp;T, Others)]]</f>
        <v>0</v>
      </c>
      <c r="D95" s="207"/>
    </row>
    <row r="96" spans="1:4" x14ac:dyDescent="0.35">
      <c r="A96" s="208" t="str">
        <f>WeeklyExpenditure[[#Headers],[AMM (T&amp;T, Others)]]</f>
        <v>AMM (T&amp;T, Others)</v>
      </c>
      <c r="B96" s="209"/>
      <c r="C96" s="221">
        <f>WeeklyExpenditure[[#Totals],[AMM (T&amp;T, Others)]]</f>
        <v>0</v>
      </c>
      <c r="D96" s="207"/>
    </row>
    <row r="97" spans="1:4" x14ac:dyDescent="0.35">
      <c r="A97" s="208" t="str">
        <f>WeeklyExpenditure[[#Headers],[WOMEN MINSTRY (T&amp;T, Others]]</f>
        <v>WOMEN MINSTRY (T&amp;T, Others</v>
      </c>
      <c r="B97" s="209"/>
      <c r="C97" s="221">
        <f>WeeklyExpenditure[[#Totals],[WOMEN MINSTRY (T&amp;T, Others]]</f>
        <v>110</v>
      </c>
      <c r="D97" s="207"/>
    </row>
    <row r="98" spans="1:4" x14ac:dyDescent="0.35">
      <c r="A98" s="34" t="s">
        <v>69</v>
      </c>
      <c r="B98" s="28"/>
      <c r="C98" s="209">
        <f>SUM(B99:B100)</f>
        <v>1418</v>
      </c>
      <c r="D98" s="207"/>
    </row>
    <row r="99" spans="1:4" x14ac:dyDescent="0.35">
      <c r="A99" s="218" t="str">
        <f>WeeklyExpenditure[[#Headers],[WELFARE FUNERAL DONATIONS]]</f>
        <v>WELFARE FUNERAL DONATIONS</v>
      </c>
      <c r="B99" s="237">
        <f>WeeklyExpenditure[[#Totals],[WELFARE FUNERAL DONATIONS]]</f>
        <v>1368</v>
      </c>
      <c r="C99" s="209"/>
      <c r="D99" s="207"/>
    </row>
    <row r="100" spans="1:4" x14ac:dyDescent="0.35">
      <c r="A100" s="218" t="str">
        <f>WeeklyExpenditure[[#Headers],[WELFARE OTHER DONATIONS (MARRIAGE, ETC)]]</f>
        <v>WELFARE OTHER DONATIONS (MARRIAGE, ETC)</v>
      </c>
      <c r="B100" s="237">
        <f>WeeklyExpenditure[[#Totals],[WELFARE OTHER DONATIONS (MARRIAGE, ETC)]]</f>
        <v>50</v>
      </c>
      <c r="C100" s="209"/>
      <c r="D100" s="207"/>
    </row>
    <row r="101" spans="1:4" hidden="1" x14ac:dyDescent="0.35">
      <c r="A101" s="208" t="str">
        <f>WeeklyExpenditure[[#Headers],[PROJECTOR]]</f>
        <v>PROJECTOR</v>
      </c>
      <c r="B101" s="216"/>
      <c r="C101" s="221">
        <f>WeeklyExpenditure[[#Totals],[PROJECTOR]]</f>
        <v>0</v>
      </c>
      <c r="D101" s="222"/>
    </row>
    <row r="102" spans="1:4" x14ac:dyDescent="0.35">
      <c r="A102" s="208" t="str">
        <f>WeeklyExpenditure[[#Headers],[MAITENANCE / REPAIRS]]</f>
        <v>MAITENANCE / REPAIRS</v>
      </c>
      <c r="B102" s="209"/>
      <c r="C102" s="221">
        <f>WeeklyExpenditure[[#Totals],[MAITENANCE / REPAIRS]]</f>
        <v>0</v>
      </c>
      <c r="D102" s="207"/>
    </row>
    <row r="103" spans="1:4" x14ac:dyDescent="0.35">
      <c r="A103" s="208" t="str">
        <f>WeeklyExpenditure[[#Headers],[LORD''S SUPPER]]</f>
        <v>LORD'S SUPPER</v>
      </c>
      <c r="B103" s="209"/>
      <c r="C103" s="221">
        <f>WeeklyExpenditure[[#Totals],[LORD''S SUPPER]]</f>
        <v>0</v>
      </c>
      <c r="D103" s="207"/>
    </row>
    <row r="104" spans="1:4" x14ac:dyDescent="0.35">
      <c r="A104" s="208" t="str">
        <f>WeeklyExpenditure[[#Headers],[LOAN (REPAYMENT]]</f>
        <v>LOAN (REPAYMENT</v>
      </c>
      <c r="B104" s="209"/>
      <c r="C104" s="221">
        <f>WeeklyExpenditure[[#Totals],[LOAN (REPAYMENT]]</f>
        <v>0</v>
      </c>
      <c r="D104" s="207"/>
    </row>
    <row r="105" spans="1:4" x14ac:dyDescent="0.35">
      <c r="A105" s="208" t="str">
        <f>WeeklyExpenditure[[#Headers],[WASHROOM PROJECT]]</f>
        <v>WASHROOM PROJECT</v>
      </c>
      <c r="B105" s="209"/>
      <c r="C105" s="221">
        <f>WeeklyExpenditure[[#Totals],[WASHROOM PROJECT]]</f>
        <v>0</v>
      </c>
      <c r="D105" s="207"/>
    </row>
    <row r="106" spans="1:4" x14ac:dyDescent="0.35">
      <c r="A106" s="208" t="str">
        <f>WeeklyExpenditure[[#Headers],[HARVEST EXPENDITURE]]</f>
        <v>HARVEST EXPENDITURE</v>
      </c>
      <c r="B106" s="209"/>
      <c r="C106" s="221">
        <f>WeeklyExpenditure[[#Totals],[HARVEST EXPENDITURE]]</f>
        <v>0</v>
      </c>
      <c r="D106" s="207"/>
    </row>
    <row r="107" spans="1:4" x14ac:dyDescent="0.35">
      <c r="A107" s="208" t="str">
        <f>WeeklyExpenditure[[#Headers],[ELECTRICITY]]</f>
        <v>ELECTRICITY</v>
      </c>
      <c r="B107" s="209"/>
      <c r="C107" s="221">
        <f>WeeklyExpenditure[[#Totals],[ELECTRICITY]]</f>
        <v>0</v>
      </c>
      <c r="D107" s="207"/>
    </row>
    <row r="108" spans="1:4" hidden="1" x14ac:dyDescent="0.35">
      <c r="A108" s="208" t="str">
        <f>WeeklyExpenditure[[#Headers],[CAMP MEETING]]</f>
        <v>CAMP MEETING</v>
      </c>
      <c r="B108" s="209"/>
      <c r="C108" s="221">
        <f>WeeklyExpenditure[[#Totals],[CAMP MEETING]]</f>
        <v>0</v>
      </c>
      <c r="D108" s="207"/>
    </row>
    <row r="109" spans="1:4" x14ac:dyDescent="0.35">
      <c r="A109" s="208" t="str">
        <f>WeeklyExpenditure[[#Headers],[POST  OFFICE]]</f>
        <v>POST  OFFICE</v>
      </c>
      <c r="B109" s="209"/>
      <c r="C109" s="221">
        <f>WeeklyExpenditure[[#Totals],[POST  OFFICE]]</f>
        <v>0</v>
      </c>
      <c r="D109" s="207"/>
    </row>
    <row r="110" spans="1:4" hidden="1" x14ac:dyDescent="0.35">
      <c r="A110" s="208" t="str">
        <f>WeeklyExpenditure[[#Headers],[CONFERENCE FUND]]</f>
        <v>CONFERENCE FUND</v>
      </c>
      <c r="B110" s="209"/>
      <c r="C110" s="221">
        <f>WeeklyExpenditure[[#Totals],[CONFERENCE FUND]]</f>
        <v>0</v>
      </c>
      <c r="D110" s="207"/>
    </row>
    <row r="111" spans="1:4" x14ac:dyDescent="0.35">
      <c r="A111" s="208" t="str">
        <f>WeeklyExpenditure[[#Headers],[DISTRICT FUND]]</f>
        <v>DISTRICT FUND</v>
      </c>
      <c r="B111" s="209"/>
      <c r="C111" s="221">
        <f>WeeklyExpenditure[[#Totals],[DISTRICT FUND]]</f>
        <v>0</v>
      </c>
      <c r="D111" s="207"/>
    </row>
    <row r="112" spans="1:4" hidden="1" x14ac:dyDescent="0.35">
      <c r="A112" s="208" t="str">
        <f>WeeklyExpenditure[[#Headers],[HOME COMING]]</f>
        <v>HOME COMING</v>
      </c>
      <c r="B112" s="209"/>
      <c r="C112" s="221">
        <f>WeeklyExpenditure[[#Totals],[HOME COMING]]</f>
        <v>0</v>
      </c>
      <c r="D112" s="207"/>
    </row>
    <row r="113" spans="1:9" hidden="1" x14ac:dyDescent="0.35">
      <c r="A113" s="208" t="str">
        <f>WeeklyExpenditure[[#Headers],[ANNUAL THANKSGIVING/HARVEST]]</f>
        <v>ANNUAL THANKSGIVING/HARVEST</v>
      </c>
      <c r="B113" s="209"/>
      <c r="C113" s="221">
        <f>WeeklyExpenditure[[#Totals],[ANNUAL THANKSGIVING/HARVEST]]</f>
        <v>0</v>
      </c>
      <c r="D113" s="207"/>
    </row>
    <row r="114" spans="1:9" hidden="1" x14ac:dyDescent="0.35">
      <c r="A114" s="208" t="str">
        <f>WeeklyExpenditure[[#Headers],[BANK CHARGES]]</f>
        <v>BANK CHARGES</v>
      </c>
      <c r="B114" s="209"/>
      <c r="C114" s="221">
        <f>WeeklyExpenditure[[#Totals],[BANK CHARGES]]</f>
        <v>0</v>
      </c>
      <c r="D114" s="207"/>
    </row>
    <row r="115" spans="1:9" hidden="1" x14ac:dyDescent="0.35">
      <c r="A115" s="208" t="str">
        <f>WeeklyExpenditure[[#Headers],[TRADITIONAL DAY]]</f>
        <v>TRADITIONAL DAY</v>
      </c>
      <c r="B115" s="209"/>
      <c r="C115" s="221">
        <f>WeeklyExpenditure[[#Totals],[TRADITIONAL DAY]]</f>
        <v>0</v>
      </c>
      <c r="D115" s="207"/>
    </row>
    <row r="116" spans="1:9" x14ac:dyDescent="0.35">
      <c r="A116" s="208" t="str">
        <f>WeeklyExpenditure[[#Headers],[CARE FOR THE AGED &amp; SICK]]</f>
        <v>CARE FOR THE AGED &amp; SICK</v>
      </c>
      <c r="B116" s="209"/>
      <c r="C116" s="221">
        <f>WeeklyExpenditure[[#Totals],[CARE FOR THE AGED &amp; SICK]]</f>
        <v>0</v>
      </c>
      <c r="D116" s="207"/>
    </row>
    <row r="117" spans="1:9" ht="23.25" x14ac:dyDescent="0.5">
      <c r="A117" s="238" t="str">
        <f>WeeklyExpenditure[[#Headers],[MISCELLANEOUS (Soap, Washing Powder, Others)]]</f>
        <v>MISCELLANEOUS (Soap, Washing Powder, Others)</v>
      </c>
      <c r="B117" s="209"/>
      <c r="C117" s="221">
        <f>WeeklyExpenditure[[#Totals],[MISCELLANEOUS (Soap, Washing Powder, Others)]]</f>
        <v>105</v>
      </c>
      <c r="D117" s="239"/>
    </row>
    <row r="118" spans="1:9" ht="28.5" x14ac:dyDescent="0.55000000000000004">
      <c r="A118" s="230" t="str">
        <f>IF(D30&gt;D117,"SURPLUS",IF(D30=D117,"BREAKEVEN",IF(D30&lt;D117,"DEFICIT","")))</f>
        <v>SURPLUS</v>
      </c>
      <c r="B118" s="231"/>
      <c r="C118" s="231"/>
      <c r="D118" s="240">
        <f>SUM(D80-D81)</f>
        <v>1490.85</v>
      </c>
      <c r="E118" s="175"/>
      <c r="F118" s="175"/>
      <c r="G118" s="175"/>
      <c r="H118" s="175"/>
      <c r="I118" s="175"/>
    </row>
    <row r="119" spans="1:9" x14ac:dyDescent="0.35">
      <c r="A119"/>
      <c r="B119"/>
      <c r="C119"/>
      <c r="D119"/>
    </row>
    <row r="120" spans="1:9" x14ac:dyDescent="0.35">
      <c r="A120" s="148" t="s">
        <v>145</v>
      </c>
      <c r="B120" s="269" t="s">
        <v>146</v>
      </c>
      <c r="C120" s="269"/>
      <c r="D120" s="269"/>
    </row>
    <row r="121" spans="1:9" x14ac:dyDescent="0.35">
      <c r="A121" s="149" t="s">
        <v>150</v>
      </c>
      <c r="B121" s="241" t="s">
        <v>147</v>
      </c>
      <c r="C121" s="241" t="s">
        <v>148</v>
      </c>
      <c r="D121" s="241" t="s">
        <v>24</v>
      </c>
    </row>
    <row r="122" spans="1:9" x14ac:dyDescent="0.35">
      <c r="A122" s="149" t="s">
        <v>0</v>
      </c>
      <c r="B122" s="150">
        <v>1</v>
      </c>
      <c r="C122" s="150">
        <v>0</v>
      </c>
      <c r="D122" s="150">
        <v>0</v>
      </c>
      <c r="I122" s="190"/>
    </row>
    <row r="123" spans="1:9" x14ac:dyDescent="0.35">
      <c r="A123" s="149" t="s">
        <v>1</v>
      </c>
      <c r="B123" s="150">
        <v>0.4</v>
      </c>
      <c r="C123" s="150">
        <v>0.1</v>
      </c>
      <c r="D123" s="150">
        <v>0.5</v>
      </c>
    </row>
    <row r="124" spans="1:9" x14ac:dyDescent="0.35">
      <c r="A124" s="149" t="s">
        <v>2</v>
      </c>
      <c r="B124" s="150">
        <v>0.4</v>
      </c>
      <c r="C124" s="150">
        <v>0.1</v>
      </c>
      <c r="D124" s="150">
        <v>0.5</v>
      </c>
    </row>
    <row r="125" spans="1:9" x14ac:dyDescent="0.35">
      <c r="A125" s="149" t="s">
        <v>3</v>
      </c>
      <c r="B125" s="150">
        <v>0.4</v>
      </c>
      <c r="C125" s="150">
        <v>0.1</v>
      </c>
      <c r="D125" s="150">
        <v>0.5</v>
      </c>
    </row>
    <row r="126" spans="1:9" x14ac:dyDescent="0.35">
      <c r="A126" s="242" t="s">
        <v>6</v>
      </c>
      <c r="B126" s="243">
        <v>0.1</v>
      </c>
      <c r="C126" s="243">
        <v>0.1</v>
      </c>
      <c r="D126" s="243">
        <v>0.8</v>
      </c>
    </row>
    <row r="127" spans="1:9" x14ac:dyDescent="0.35">
      <c r="A127" s="273"/>
      <c r="B127" s="273"/>
      <c r="C127" s="273"/>
      <c r="D127" s="273"/>
    </row>
    <row r="128" spans="1:9" x14ac:dyDescent="0.35">
      <c r="A128" s="273"/>
      <c r="B128" s="273"/>
      <c r="C128" s="273"/>
      <c r="D128" s="273"/>
    </row>
    <row r="129" spans="1:4" ht="28.5" x14ac:dyDescent="0.45">
      <c r="A129" s="245"/>
      <c r="B129" s="244"/>
      <c r="C129" s="246"/>
      <c r="D129" s="247"/>
    </row>
    <row r="130" spans="1:4" ht="28.5" x14ac:dyDescent="0.45">
      <c r="A130" s="245"/>
      <c r="B130" s="248"/>
      <c r="C130" s="248"/>
      <c r="D130" s="249"/>
    </row>
    <row r="131" spans="1:4" ht="28.5" x14ac:dyDescent="0.45">
      <c r="A131" s="248"/>
      <c r="B131" s="248"/>
      <c r="C131" s="249"/>
      <c r="D131" s="249"/>
    </row>
    <row r="132" spans="1:4" ht="33" x14ac:dyDescent="0.75">
      <c r="A132" s="248"/>
      <c r="B132" s="248"/>
      <c r="C132" s="250"/>
      <c r="D132" s="249"/>
    </row>
    <row r="133" spans="1:4" ht="30.75" x14ac:dyDescent="0.35">
      <c r="A133" s="251"/>
      <c r="B133" s="252"/>
      <c r="C133" s="253"/>
      <c r="D133" s="254"/>
    </row>
    <row r="134" spans="1:4" ht="33" x14ac:dyDescent="0.75">
      <c r="A134" s="255"/>
      <c r="B134" s="255"/>
      <c r="C134" s="256"/>
      <c r="D134" s="256"/>
    </row>
  </sheetData>
  <sheetProtection sheet="1" objects="1" scenarios="1" sort="0" autoFilter="0"/>
  <mergeCells count="5">
    <mergeCell ref="B3:D3"/>
    <mergeCell ref="A2:D2"/>
    <mergeCell ref="A1:D1"/>
    <mergeCell ref="B120:D120"/>
    <mergeCell ref="A127:D128"/>
  </mergeCells>
  <phoneticPr fontId="46" type="noConversion"/>
  <conditionalFormatting sqref="A118">
    <cfRule type="expression" dxfId="74" priority="1">
      <formula>$D$118&lt;0</formula>
    </cfRule>
    <cfRule type="expression" dxfId="73" priority="2">
      <formula>$D$118&gt;0</formula>
    </cfRule>
  </conditionalFormatting>
  <pageMargins left="0.43307086614173229" right="0" top="0.15748031496062992" bottom="0" header="3.937007874015748E-2" footer="0.43307086614173229"/>
  <pageSetup paperSize="9" scale="6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aveToLocations">
                <anchor>
                  <from>
                    <xdr:col>8</xdr:col>
                    <xdr:colOff>342900</xdr:colOff>
                    <xdr:row>9</xdr:row>
                    <xdr:rowOff>152400</xdr:rowOff>
                  </from>
                  <to>
                    <xdr:col>9</xdr:col>
                    <xdr:colOff>123825</xdr:colOff>
                    <xdr:row>11</xdr:row>
                    <xdr:rowOff>247650</xdr:rowOff>
                  </to>
                </anchor>
              </controlPr>
            </control>
          </mc:Choice>
        </mc:AlternateContent>
        <mc:AlternateContent xmlns:mc="http://schemas.openxmlformats.org/markup-compatibility/2006">
          <mc:Choice Requires="x14">
            <control shapeId="6149" r:id="rId5" name="Button 5">
              <controlPr defaultSize="0" print="0" autoFill="0" autoPict="0" macro="[0]!Receipt_Numbers">
                <anchor>
                  <from>
                    <xdr:col>5</xdr:col>
                    <xdr:colOff>609600</xdr:colOff>
                    <xdr:row>9</xdr:row>
                    <xdr:rowOff>180975</xdr:rowOff>
                  </from>
                  <to>
                    <xdr:col>8</xdr:col>
                    <xdr:colOff>66675</xdr:colOff>
                    <xdr:row>11</xdr:row>
                    <xdr:rowOff>247650</xdr:rowOff>
                  </to>
                </anchor>
              </controlPr>
            </control>
          </mc:Choice>
        </mc:AlternateContent>
        <mc:AlternateContent xmlns:mc="http://schemas.openxmlformats.org/markup-compatibility/2006">
          <mc:Choice Requires="x14">
            <control shapeId="6150" r:id="rId6" name="Button 6">
              <controlPr defaultSize="0" print="0" autoFill="0" autoPict="0" macro="[0]!Generate_Report">
                <anchor>
                  <from>
                    <xdr:col>4</xdr:col>
                    <xdr:colOff>276225</xdr:colOff>
                    <xdr:row>9</xdr:row>
                    <xdr:rowOff>180975</xdr:rowOff>
                  </from>
                  <to>
                    <xdr:col>5</xdr:col>
                    <xdr:colOff>390525</xdr:colOff>
                    <xdr:row>11</xdr:row>
                    <xdr:rowOff>247650</xdr:rowOff>
                  </to>
                </anchor>
              </controlPr>
            </control>
          </mc:Choice>
        </mc:AlternateContent>
        <mc:AlternateContent xmlns:mc="http://schemas.openxmlformats.org/markup-compatibility/2006">
          <mc:Choice Requires="x14">
            <control shapeId="6151" r:id="rId7" name="Button 7">
              <controlPr defaultSize="0" print="0" autoFill="0" autoPict="0" macro="[0]!Record_Expenditure">
                <anchor>
                  <from>
                    <xdr:col>9</xdr:col>
                    <xdr:colOff>152400</xdr:colOff>
                    <xdr:row>5</xdr:row>
                    <xdr:rowOff>66675</xdr:rowOff>
                  </from>
                  <to>
                    <xdr:col>10</xdr:col>
                    <xdr:colOff>609600</xdr:colOff>
                    <xdr:row>7</xdr:row>
                    <xdr:rowOff>152400</xdr:rowOff>
                  </to>
                </anchor>
              </controlPr>
            </control>
          </mc:Choice>
        </mc:AlternateContent>
        <mc:AlternateContent xmlns:mc="http://schemas.openxmlformats.org/markup-compatibility/2006">
          <mc:Choice Requires="x14">
            <control shapeId="6152" r:id="rId8" name="Button 8">
              <controlPr defaultSize="0" print="0" autoFill="0" autoPict="0" macro="[0]!Module2.Income">
                <anchor>
                  <from>
                    <xdr:col>8</xdr:col>
                    <xdr:colOff>295275</xdr:colOff>
                    <xdr:row>5</xdr:row>
                    <xdr:rowOff>66675</xdr:rowOff>
                  </from>
                  <to>
                    <xdr:col>8</xdr:col>
                    <xdr:colOff>1800225</xdr:colOff>
                    <xdr:row>7</xdr:row>
                    <xdr:rowOff>152400</xdr:rowOff>
                  </to>
                </anchor>
              </controlPr>
            </control>
          </mc:Choice>
        </mc:AlternateContent>
        <mc:AlternateContent xmlns:mc="http://schemas.openxmlformats.org/markup-compatibility/2006">
          <mc:Choice Requires="x14">
            <control shapeId="6153" r:id="rId9" name="Button 9">
              <controlPr defaultSize="0" print="0" autoFill="0" autoPict="0" macro="[0]!Heritage_Funds">
                <anchor>
                  <from>
                    <xdr:col>5</xdr:col>
                    <xdr:colOff>609600</xdr:colOff>
                    <xdr:row>5</xdr:row>
                    <xdr:rowOff>66675</xdr:rowOff>
                  </from>
                  <to>
                    <xdr:col>8</xdr:col>
                    <xdr:colOff>66675</xdr:colOff>
                    <xdr:row>7</xdr:row>
                    <xdr:rowOff>152400</xdr:rowOff>
                  </to>
                </anchor>
              </controlPr>
            </control>
          </mc:Choice>
        </mc:AlternateContent>
        <mc:AlternateContent xmlns:mc="http://schemas.openxmlformats.org/markup-compatibility/2006">
          <mc:Choice Requires="x14">
            <control shapeId="6154" r:id="rId10" name="Button 10">
              <controlPr defaultSize="0" print="0" autoFill="0" autoPict="0" macro="[0]!Return_Home">
                <anchor>
                  <from>
                    <xdr:col>4</xdr:col>
                    <xdr:colOff>276225</xdr:colOff>
                    <xdr:row>5</xdr:row>
                    <xdr:rowOff>66675</xdr:rowOff>
                  </from>
                  <to>
                    <xdr:col>5</xdr:col>
                    <xdr:colOff>381000</xdr:colOff>
                    <xdr:row>7</xdr:row>
                    <xdr:rowOff>152400</xdr:rowOff>
                  </to>
                </anchor>
              </controlPr>
            </control>
          </mc:Choice>
        </mc:AlternateContent>
      </controls>
    </mc:Choice>
  </mc:AlternateContent>
  <tableParts count="3">
    <tablePart r:id="rId11"/>
    <tablePart r:id="rId12"/>
    <tablePart r:id="rId13"/>
  </tableParts>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errorTitle="Saturdays Only" error="Day must fall on Saturdays Only" promptTitle="SELECT A DATE" prompt="Select a date from the list below">
          <x14:formula1>
            <xm:f>'RECEIPT NUMBERS'!$A$2:$A$1048576</xm:f>
          </x14:formula1>
          <xm:sqref>B3:D3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12"/>
  <sheetViews>
    <sheetView showGridLines="0" zoomScaleNormal="100" workbookViewId="0">
      <selection activeCell="A14" sqref="A14"/>
    </sheetView>
  </sheetViews>
  <sheetFormatPr defaultRowHeight="15" x14ac:dyDescent="0.25"/>
  <cols>
    <col min="1" max="1" width="10.85546875" customWidth="1"/>
    <col min="2" max="2" width="11.28515625" style="1" customWidth="1"/>
    <col min="3" max="3" width="9.5703125" bestFit="1" customWidth="1"/>
  </cols>
  <sheetData>
    <row r="1" spans="1:3" x14ac:dyDescent="0.25">
      <c r="A1" t="s">
        <v>21</v>
      </c>
      <c r="B1" t="s">
        <v>81</v>
      </c>
    </row>
    <row r="2" spans="1:3" x14ac:dyDescent="0.25">
      <c r="A2" s="27">
        <v>44562</v>
      </c>
      <c r="B2" s="1">
        <v>3000</v>
      </c>
    </row>
    <row r="3" spans="1:3" x14ac:dyDescent="0.25">
      <c r="A3" s="10">
        <v>44660</v>
      </c>
      <c r="B3" s="1">
        <v>200</v>
      </c>
      <c r="C3" s="124"/>
    </row>
    <row r="4" spans="1:3" x14ac:dyDescent="0.25">
      <c r="A4" s="10">
        <v>44688</v>
      </c>
      <c r="B4" s="1">
        <v>200</v>
      </c>
      <c r="C4" s="124"/>
    </row>
    <row r="5" spans="1:3" x14ac:dyDescent="0.25">
      <c r="A5" s="10">
        <v>44732</v>
      </c>
      <c r="B5" s="1">
        <v>200</v>
      </c>
      <c r="C5" s="124"/>
    </row>
    <row r="6" spans="1:3" x14ac:dyDescent="0.25">
      <c r="A6" s="10">
        <v>44779</v>
      </c>
      <c r="B6" s="1">
        <v>200</v>
      </c>
      <c r="C6" s="124"/>
    </row>
    <row r="7" spans="1:3" x14ac:dyDescent="0.25">
      <c r="A7" s="10">
        <v>44800</v>
      </c>
      <c r="B7" s="1">
        <v>200</v>
      </c>
      <c r="C7" s="124"/>
    </row>
    <row r="8" spans="1:3" x14ac:dyDescent="0.25">
      <c r="A8" s="10">
        <v>44821</v>
      </c>
      <c r="B8" s="1">
        <v>200</v>
      </c>
      <c r="C8" s="124"/>
    </row>
    <row r="9" spans="1:3" x14ac:dyDescent="0.25">
      <c r="A9" s="10">
        <v>44835</v>
      </c>
      <c r="B9" s="1">
        <v>200</v>
      </c>
      <c r="C9" s="124"/>
    </row>
    <row r="10" spans="1:3" x14ac:dyDescent="0.25">
      <c r="A10" s="10">
        <v>44898</v>
      </c>
      <c r="B10" s="1">
        <v>200</v>
      </c>
      <c r="C10" s="124"/>
    </row>
    <row r="11" spans="1:3" x14ac:dyDescent="0.25">
      <c r="A11" s="27">
        <v>44744</v>
      </c>
      <c r="B11" s="1">
        <v>200</v>
      </c>
    </row>
    <row r="12" spans="1:3" x14ac:dyDescent="0.25">
      <c r="A12" t="s">
        <v>20</v>
      </c>
      <c r="B12" s="128">
        <f>SUBTOTAL(109,HerritageFunds[AMOUNT])</f>
        <v>4800</v>
      </c>
    </row>
  </sheetData>
  <sheetProtection sheet="1" objects="1" scenarios="1" sort="0" autoFilter="0"/>
  <phoneticPr fontId="4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Pict="0" macro="[0]!SaveToLocations">
                <anchor>
                  <from>
                    <xdr:col>11</xdr:col>
                    <xdr:colOff>0</xdr:colOff>
                    <xdr:row>7</xdr:row>
                    <xdr:rowOff>57150</xdr:rowOff>
                  </from>
                  <to>
                    <xdr:col>13</xdr:col>
                    <xdr:colOff>400050</xdr:colOff>
                    <xdr:row>10</xdr:row>
                    <xdr:rowOff>76200</xdr:rowOff>
                  </to>
                </anchor>
              </controlPr>
            </control>
          </mc:Choice>
        </mc:AlternateContent>
        <mc:AlternateContent xmlns:mc="http://schemas.openxmlformats.org/markup-compatibility/2006">
          <mc:Choice Requires="x14">
            <control shapeId="7179" r:id="rId5" name="Button 11">
              <controlPr defaultSize="0" print="0" autoFill="0" autoPict="0" macro="[0]!WeeklyReports">
                <anchor>
                  <from>
                    <xdr:col>8</xdr:col>
                    <xdr:colOff>104775</xdr:colOff>
                    <xdr:row>7</xdr:row>
                    <xdr:rowOff>57150</xdr:rowOff>
                  </from>
                  <to>
                    <xdr:col>10</xdr:col>
                    <xdr:colOff>361950</xdr:colOff>
                    <xdr:row>10</xdr:row>
                    <xdr:rowOff>76200</xdr:rowOff>
                  </to>
                </anchor>
              </controlPr>
            </control>
          </mc:Choice>
        </mc:AlternateContent>
        <mc:AlternateContent xmlns:mc="http://schemas.openxmlformats.org/markup-compatibility/2006">
          <mc:Choice Requires="x14">
            <control shapeId="7180" r:id="rId6" name="Button 12">
              <controlPr defaultSize="0" print="0" autoFill="0" autoPict="0" macro="[0]!Receipt_Numbers">
                <anchor>
                  <from>
                    <xdr:col>5</xdr:col>
                    <xdr:colOff>200025</xdr:colOff>
                    <xdr:row>7</xdr:row>
                    <xdr:rowOff>57150</xdr:rowOff>
                  </from>
                  <to>
                    <xdr:col>7</xdr:col>
                    <xdr:colOff>466725</xdr:colOff>
                    <xdr:row>10</xdr:row>
                    <xdr:rowOff>76200</xdr:rowOff>
                  </to>
                </anchor>
              </controlPr>
            </control>
          </mc:Choice>
        </mc:AlternateContent>
        <mc:AlternateContent xmlns:mc="http://schemas.openxmlformats.org/markup-compatibility/2006">
          <mc:Choice Requires="x14">
            <control shapeId="7181" r:id="rId7" name="Button 13">
              <controlPr defaultSize="0" print="0" autoFill="0" autoPict="0" macro="[0]!Generate_Report">
                <anchor>
                  <from>
                    <xdr:col>2</xdr:col>
                    <xdr:colOff>323850</xdr:colOff>
                    <xdr:row>7</xdr:row>
                    <xdr:rowOff>57150</xdr:rowOff>
                  </from>
                  <to>
                    <xdr:col>4</xdr:col>
                    <xdr:colOff>561975</xdr:colOff>
                    <xdr:row>10</xdr:row>
                    <xdr:rowOff>76200</xdr:rowOff>
                  </to>
                </anchor>
              </controlPr>
            </control>
          </mc:Choice>
        </mc:AlternateContent>
        <mc:AlternateContent xmlns:mc="http://schemas.openxmlformats.org/markup-compatibility/2006">
          <mc:Choice Requires="x14">
            <control shapeId="7182" r:id="rId8" name="Button 14">
              <controlPr defaultSize="0" print="0" autoFill="0" autoPict="0" macro="[0]!Record_Expenditure">
                <anchor>
                  <from>
                    <xdr:col>8</xdr:col>
                    <xdr:colOff>123825</xdr:colOff>
                    <xdr:row>0</xdr:row>
                    <xdr:rowOff>171450</xdr:rowOff>
                  </from>
                  <to>
                    <xdr:col>10</xdr:col>
                    <xdr:colOff>409575</xdr:colOff>
                    <xdr:row>4</xdr:row>
                    <xdr:rowOff>0</xdr:rowOff>
                  </to>
                </anchor>
              </controlPr>
            </control>
          </mc:Choice>
        </mc:AlternateContent>
        <mc:AlternateContent xmlns:mc="http://schemas.openxmlformats.org/markup-compatibility/2006">
          <mc:Choice Requires="x14">
            <control shapeId="7183" r:id="rId9" name="Button 15">
              <controlPr defaultSize="0" print="0" autoFill="0" autoPict="0" macro="[0]!Module2.Income">
                <anchor>
                  <from>
                    <xdr:col>5</xdr:col>
                    <xdr:colOff>200025</xdr:colOff>
                    <xdr:row>0</xdr:row>
                    <xdr:rowOff>171450</xdr:rowOff>
                  </from>
                  <to>
                    <xdr:col>7</xdr:col>
                    <xdr:colOff>485775</xdr:colOff>
                    <xdr:row>4</xdr:row>
                    <xdr:rowOff>0</xdr:rowOff>
                  </to>
                </anchor>
              </controlPr>
            </control>
          </mc:Choice>
        </mc:AlternateContent>
        <mc:AlternateContent xmlns:mc="http://schemas.openxmlformats.org/markup-compatibility/2006">
          <mc:Choice Requires="x14">
            <control shapeId="7185" r:id="rId10" name="Button 17">
              <controlPr defaultSize="0" print="0" autoFill="0" autoPict="0" macro="[0]!Return_Home">
                <anchor>
                  <from>
                    <xdr:col>2</xdr:col>
                    <xdr:colOff>323850</xdr:colOff>
                    <xdr:row>0</xdr:row>
                    <xdr:rowOff>171450</xdr:rowOff>
                  </from>
                  <to>
                    <xdr:col>4</xdr:col>
                    <xdr:colOff>561975</xdr:colOff>
                    <xdr:row>4</xdr:row>
                    <xdr:rowOff>0</xdr:rowOff>
                  </to>
                </anchor>
              </controlPr>
            </control>
          </mc:Choice>
        </mc:AlternateContent>
      </controls>
    </mc:Choice>
  </mc:AlternateContent>
  <tableParts count="1">
    <tablePart r:id="rId1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37"/>
  <sheetViews>
    <sheetView showGridLines="0" zoomScaleNormal="100" workbookViewId="0">
      <selection activeCell="A12" sqref="A12"/>
    </sheetView>
  </sheetViews>
  <sheetFormatPr defaultRowHeight="15" x14ac:dyDescent="0.25"/>
  <cols>
    <col min="1" max="1" width="170.7109375" style="130" customWidth="1"/>
  </cols>
  <sheetData>
    <row r="1" spans="1:5" x14ac:dyDescent="0.25">
      <c r="A1" s="133" t="s">
        <v>98</v>
      </c>
    </row>
    <row r="2" spans="1:5" x14ac:dyDescent="0.25">
      <c r="A2" s="133" t="s">
        <v>101</v>
      </c>
      <c r="D2" s="135"/>
      <c r="E2" s="135"/>
    </row>
    <row r="3" spans="1:5" x14ac:dyDescent="0.25">
      <c r="A3" s="130" t="s">
        <v>99</v>
      </c>
    </row>
    <row r="4" spans="1:5" ht="30" x14ac:dyDescent="0.25">
      <c r="A4" s="130" t="s">
        <v>100</v>
      </c>
    </row>
    <row r="6" spans="1:5" x14ac:dyDescent="0.25">
      <c r="A6" s="131" t="s">
        <v>102</v>
      </c>
    </row>
    <row r="7" spans="1:5" x14ac:dyDescent="0.25">
      <c r="A7" s="130" t="s">
        <v>103</v>
      </c>
    </row>
    <row r="9" spans="1:5" x14ac:dyDescent="0.25">
      <c r="A9" s="131" t="s">
        <v>104</v>
      </c>
    </row>
    <row r="10" spans="1:5" x14ac:dyDescent="0.25">
      <c r="A10" s="130" t="s">
        <v>105</v>
      </c>
    </row>
    <row r="14" spans="1:5" x14ac:dyDescent="0.25">
      <c r="A14" s="134" t="s">
        <v>58</v>
      </c>
    </row>
    <row r="15" spans="1:5" ht="30" x14ac:dyDescent="0.25">
      <c r="A15" s="130" t="s">
        <v>106</v>
      </c>
    </row>
    <row r="16" spans="1:5" ht="30" x14ac:dyDescent="0.25">
      <c r="A16" s="130" t="s">
        <v>107</v>
      </c>
    </row>
    <row r="19" spans="1:5" x14ac:dyDescent="0.25">
      <c r="A19" s="132" t="s">
        <v>108</v>
      </c>
    </row>
    <row r="20" spans="1:5" x14ac:dyDescent="0.25">
      <c r="A20" s="130" t="s">
        <v>109</v>
      </c>
    </row>
    <row r="24" spans="1:5" x14ac:dyDescent="0.25">
      <c r="A24" s="131" t="s">
        <v>110</v>
      </c>
    </row>
    <row r="25" spans="1:5" ht="30" x14ac:dyDescent="0.25">
      <c r="A25" s="130" t="s">
        <v>111</v>
      </c>
    </row>
    <row r="28" spans="1:5" x14ac:dyDescent="0.25">
      <c r="A28" s="274" t="s">
        <v>112</v>
      </c>
      <c r="B28" s="274"/>
      <c r="C28" s="274"/>
      <c r="D28" s="274"/>
      <c r="E28" s="274"/>
    </row>
    <row r="29" spans="1:5" x14ac:dyDescent="0.25">
      <c r="A29" s="130" t="s">
        <v>113</v>
      </c>
    </row>
    <row r="32" spans="1:5" x14ac:dyDescent="0.25">
      <c r="A32" s="274" t="s">
        <v>114</v>
      </c>
      <c r="B32" s="274"/>
      <c r="C32" s="274"/>
      <c r="D32" s="274"/>
      <c r="E32" s="274"/>
    </row>
    <row r="33" spans="1:5" x14ac:dyDescent="0.25">
      <c r="A33" s="130" t="s">
        <v>115</v>
      </c>
    </row>
    <row r="36" spans="1:5" x14ac:dyDescent="0.25">
      <c r="A36" s="274" t="s">
        <v>116</v>
      </c>
      <c r="B36" s="274"/>
      <c r="C36" s="274"/>
      <c r="D36" s="274"/>
      <c r="E36" s="274"/>
    </row>
    <row r="37" spans="1:5" ht="30" x14ac:dyDescent="0.25">
      <c r="A37" s="130" t="s">
        <v>117</v>
      </c>
    </row>
  </sheetData>
  <sheetProtection algorithmName="SHA-512" hashValue="MkJtAWuppusoc4PEQe0XGrmDMFQhFkxUXZ+6YBhpvywLgRsqVekaoTS6k5AveIRUx8Qrxd+VAjEkKbRA0SlZ+A==" saltValue="pD9ik6lUcDqn+QjeMQ1OdA==" spinCount="100000" sheet="1" objects="1" scenarios="1" sort="0" autoFilter="0"/>
  <mergeCells count="3">
    <mergeCell ref="A28:E28"/>
    <mergeCell ref="A36:E36"/>
    <mergeCell ref="A32:E32"/>
  </mergeCells>
  <pageMargins left="0.7" right="0.7" top="0.75" bottom="0.75" header="0.3" footer="0.3"/>
  <pageSetup paperSize="9" scale="4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pageSetUpPr fitToPage="1"/>
  </sheetPr>
  <dimension ref="A1:D118"/>
  <sheetViews>
    <sheetView zoomScale="70" zoomScaleNormal="70" workbookViewId="0">
      <selection sqref="A1:D5"/>
    </sheetView>
  </sheetViews>
  <sheetFormatPr defaultRowHeight="15" x14ac:dyDescent="0.25"/>
  <cols>
    <col min="1" max="1" width="61.140625" customWidth="1"/>
    <col min="2" max="2" width="21.28515625" bestFit="1" customWidth="1"/>
    <col min="3" max="3" width="16.28515625" bestFit="1" customWidth="1"/>
    <col min="4" max="4" width="21.28515625" bestFit="1" customWidth="1"/>
  </cols>
  <sheetData>
    <row r="1" spans="1:4" ht="21" x14ac:dyDescent="0.35">
      <c r="A1" s="275" t="s">
        <v>54</v>
      </c>
      <c r="B1" s="275"/>
      <c r="C1" s="275"/>
      <c r="D1" s="275"/>
    </row>
    <row r="2" spans="1:4" ht="21" x14ac:dyDescent="0.35">
      <c r="A2" s="275" t="s">
        <v>55</v>
      </c>
      <c r="B2" s="275"/>
      <c r="C2" s="275"/>
      <c r="D2" s="275"/>
    </row>
    <row r="3" spans="1:4" ht="21" customHeight="1" x14ac:dyDescent="0.35">
      <c r="A3" s="29" t="s">
        <v>92</v>
      </c>
      <c r="B3" s="276">
        <v>44954</v>
      </c>
      <c r="C3" s="271"/>
      <c r="D3" s="277"/>
    </row>
    <row r="4" spans="1:4" ht="21" x14ac:dyDescent="0.35">
      <c r="A4" s="30" t="s">
        <v>93</v>
      </c>
      <c r="B4" s="125" t="str">
        <f>VLOOKUP('PRINT WEEKLY'!B3,IF({1,0},'RECEIPT NUMBERS'!$A$2:$A$89,'RECEIPT NUMBERS'!$B$2:$B$89),2,0)</f>
        <v>219484-219499</v>
      </c>
      <c r="C4" s="30" t="s">
        <v>91</v>
      </c>
      <c r="D4" s="126" t="str">
        <f>VLOOKUP('PRINT WEEKLY'!B3,IF({1,0},'RECEIPT NUMBERS'!$A$2:$A$89,'RECEIPT NUMBERS'!$C$2:$C$89),2,0)</f>
        <v>158501-158536</v>
      </c>
    </row>
    <row r="5" spans="1:4" ht="21" x14ac:dyDescent="0.35">
      <c r="A5" s="278"/>
      <c r="B5" s="279"/>
      <c r="C5" s="279"/>
      <c r="D5" s="280"/>
    </row>
    <row r="6" spans="1:4" ht="21" x14ac:dyDescent="0.35">
      <c r="A6" s="41" t="s">
        <v>56</v>
      </c>
      <c r="B6" s="47" t="s">
        <v>57</v>
      </c>
      <c r="C6" s="47" t="s">
        <v>96</v>
      </c>
      <c r="D6" s="48" t="s">
        <v>97</v>
      </c>
    </row>
    <row r="7" spans="1:4" ht="21" x14ac:dyDescent="0.35">
      <c r="A7" s="34" t="s">
        <v>58</v>
      </c>
      <c r="B7" s="31"/>
      <c r="C7" s="31"/>
      <c r="D7" s="36"/>
    </row>
    <row r="8" spans="1:4" ht="21" x14ac:dyDescent="0.35">
      <c r="A8" s="62" t="s">
        <v>65</v>
      </c>
      <c r="B8" s="32"/>
      <c r="C8" s="32"/>
      <c r="D8" s="65">
        <v>0</v>
      </c>
    </row>
    <row r="9" spans="1:4" ht="21" x14ac:dyDescent="0.35">
      <c r="A9" s="62" t="s">
        <v>66</v>
      </c>
      <c r="B9" s="32"/>
      <c r="C9" s="32"/>
      <c r="D9" s="37">
        <f>WeeklyIncome[[#Totals],[RENT]]</f>
        <v>0</v>
      </c>
    </row>
    <row r="10" spans="1:4" ht="21" x14ac:dyDescent="0.35">
      <c r="A10" s="62" t="s">
        <v>62</v>
      </c>
      <c r="B10" s="32"/>
      <c r="C10" s="32"/>
      <c r="D10" s="65">
        <f>HerritageFunds[[#Totals],[AMOUNT]]</f>
        <v>4800</v>
      </c>
    </row>
    <row r="11" spans="1:4" ht="21" x14ac:dyDescent="0.35">
      <c r="A11" s="62" t="str">
        <f>WeeklyIncome[[#Headers],[TITHE]]</f>
        <v>TITHE</v>
      </c>
      <c r="B11" s="32"/>
      <c r="C11" s="32"/>
      <c r="D11" s="37">
        <f>WeeklyIncome[[#Totals],[TITHE]]</f>
        <v>1589</v>
      </c>
    </row>
    <row r="12" spans="1:4" ht="21" x14ac:dyDescent="0.35">
      <c r="A12" s="62" t="str">
        <f>WeeklyIncome[[#Headers],[SYSTEMATIC OFFERING]]</f>
        <v>SYSTEMATIC OFFERING</v>
      </c>
      <c r="B12" s="32"/>
      <c r="C12" s="32"/>
      <c r="D12" s="37">
        <f>WeeklyIncome[[#Totals],[SYSTEMATIC OFFERING]]</f>
        <v>678</v>
      </c>
    </row>
    <row r="13" spans="1:4" ht="21" x14ac:dyDescent="0.35">
      <c r="A13" s="62" t="str">
        <f>WeeklyIncome[[#Headers],[THANKS OFFERING]]</f>
        <v>THANKS OFFERING</v>
      </c>
      <c r="B13" s="32"/>
      <c r="C13" s="32"/>
      <c r="D13" s="37">
        <f>WeeklyIncome[[#Totals],[THANKS OFFERING]]</f>
        <v>155</v>
      </c>
    </row>
    <row r="14" spans="1:4" ht="21" x14ac:dyDescent="0.35">
      <c r="A14" s="62" t="str">
        <f>WeeklyIncome[[#Headers],[LOOSE OFFERING]]</f>
        <v>LOOSE OFFERING</v>
      </c>
      <c r="B14" s="32"/>
      <c r="C14" s="32"/>
      <c r="D14" s="37">
        <f>WeeklyIncome[[#Totals],[LOOSE OFFERING]]</f>
        <v>224.5</v>
      </c>
    </row>
    <row r="15" spans="1:4" ht="21" x14ac:dyDescent="0.35">
      <c r="A15" s="62" t="str">
        <f>WeeklyIncome[[#Headers],[EXPENSES OFFERING]]</f>
        <v>EXPENSES OFFERING</v>
      </c>
      <c r="B15" s="32"/>
      <c r="C15" s="32"/>
      <c r="D15" s="37">
        <f>WeeklyIncome[[#Totals],[EXPENSES OFFERING]]</f>
        <v>574.1</v>
      </c>
    </row>
    <row r="16" spans="1:4" ht="21" x14ac:dyDescent="0.35">
      <c r="A16" s="62" t="str">
        <f>WeeklyIncome[[#Headers],[WELFARE DUES]]</f>
        <v>WELFARE DUES</v>
      </c>
      <c r="B16" s="32"/>
      <c r="C16" s="32"/>
      <c r="D16" s="37">
        <f>WeeklyIncome[[#Totals],[WELFARE DUES]]</f>
        <v>532</v>
      </c>
    </row>
    <row r="17" spans="1:4" ht="21" x14ac:dyDescent="0.35">
      <c r="A17" s="62" t="str">
        <f>WeeklyIncome[[#Headers],[HARVEST]]</f>
        <v>HARVEST</v>
      </c>
      <c r="B17" s="32"/>
      <c r="C17" s="32"/>
      <c r="D17" s="37">
        <f>WeeklyIncome[[#Totals],[HARVEST]]</f>
        <v>0</v>
      </c>
    </row>
    <row r="18" spans="1:4" ht="21" x14ac:dyDescent="0.35">
      <c r="A18" s="62" t="str">
        <f>WeeklyIncome[[#Headers],[SELLING OF TREES]]</f>
        <v>SELLING OF TREES</v>
      </c>
      <c r="B18" s="32"/>
      <c r="C18" s="32"/>
      <c r="D18" s="37">
        <f>WeeklyIncome[[#Totals],[SELLING OF TREES]]</f>
        <v>0</v>
      </c>
    </row>
    <row r="19" spans="1:4" ht="21" x14ac:dyDescent="0.35">
      <c r="A19" s="62" t="str">
        <f>WeeklyIncome[[#Headers],[BIBLE SOCIETY HARVEST]]</f>
        <v>BIBLE SOCIETY HARVEST</v>
      </c>
      <c r="B19" s="32"/>
      <c r="C19" s="32"/>
      <c r="D19" s="37">
        <f>WeeklyIncome[[#Totals],[BIBLE SOCIETY HARVEST]]</f>
        <v>0</v>
      </c>
    </row>
    <row r="20" spans="1:4" ht="21" x14ac:dyDescent="0.35">
      <c r="A20" s="62" t="str">
        <f>WeeklyIncome[[#Headers],[DONATIONS]]</f>
        <v>DONATIONS</v>
      </c>
      <c r="B20" s="32"/>
      <c r="C20" s="32"/>
      <c r="D20" s="37">
        <f>WeeklyIncome[[#Totals],[DONATIONS]]</f>
        <v>600</v>
      </c>
    </row>
    <row r="21" spans="1:4" ht="21" x14ac:dyDescent="0.35">
      <c r="A21" s="62" t="str">
        <f>WeeklyIncome[[#Headers],[FUND RAISING / SPECIAL HARVEST]]</f>
        <v>FUND RAISING / SPECIAL HARVEST</v>
      </c>
      <c r="B21" s="32"/>
      <c r="C21" s="32"/>
      <c r="D21" s="37">
        <f>WeeklyIncome[[#Totals],[FUND RAISING / SPECIAL HARVEST]]</f>
        <v>1435</v>
      </c>
    </row>
    <row r="22" spans="1:4" ht="21" x14ac:dyDescent="0.35">
      <c r="A22" s="62" t="str">
        <f>WeeklyIncome[[#Headers],[ZONAL CONTRIBUTION]]</f>
        <v>ZONAL CONTRIBUTION</v>
      </c>
      <c r="B22" s="32"/>
      <c r="C22" s="32"/>
      <c r="D22" s="37">
        <f>WeeklyIncome[[#Totals],[ZONAL CONTRIBUTION]]</f>
        <v>237</v>
      </c>
    </row>
    <row r="23" spans="1:4" ht="21" x14ac:dyDescent="0.35">
      <c r="A23" s="62" t="str">
        <f>WeeklyIncome[[#Headers],[LORD''S SUPPER]]</f>
        <v>LORD'S SUPPER</v>
      </c>
      <c r="B23" s="32"/>
      <c r="C23" s="32"/>
      <c r="D23" s="37">
        <f>WeeklyIncome[[#Totals],[LORD''S SUPPER]]</f>
        <v>0</v>
      </c>
    </row>
    <row r="24" spans="1:4" ht="21" x14ac:dyDescent="0.35">
      <c r="A24" s="62" t="str">
        <f>WeeklyIncome[[#Headers],[AMM HARVEST]]</f>
        <v>AMM HARVEST</v>
      </c>
      <c r="B24" s="32"/>
      <c r="C24" s="32"/>
      <c r="D24" s="37">
        <f>WeeklyIncome[[#Totals],[AMM HARVEST]]</f>
        <v>0</v>
      </c>
    </row>
    <row r="25" spans="1:4" ht="21" x14ac:dyDescent="0.35">
      <c r="A25" s="62" t="str">
        <f>WeeklyIncome[[#Headers],[HOME COMING]]</f>
        <v>HOME COMING</v>
      </c>
      <c r="B25" s="32"/>
      <c r="C25" s="32"/>
      <c r="D25" s="37">
        <f>WeeklyIncome[[#Totals],[HOME COMING]]</f>
        <v>0</v>
      </c>
    </row>
    <row r="26" spans="1:4" ht="21" x14ac:dyDescent="0.35">
      <c r="A26" s="62" t="str">
        <f>WeeklyIncome[[#Headers],[CHOIR]]</f>
        <v>CHOIR</v>
      </c>
      <c r="B26" s="32"/>
      <c r="C26" s="32"/>
      <c r="D26" s="37">
        <f>WeeklyIncome[[#Totals],[CHOIR]]</f>
        <v>0</v>
      </c>
    </row>
    <row r="27" spans="1:4" ht="21" x14ac:dyDescent="0.35">
      <c r="A27" s="62" t="str">
        <f>WeeklyIncome[[#Headers],[NURSERY]]</f>
        <v>NURSERY</v>
      </c>
      <c r="B27" s="32"/>
      <c r="C27" s="32"/>
      <c r="D27" s="37">
        <f>WeeklyIncome[[#Totals],[NURSERY]]</f>
        <v>0</v>
      </c>
    </row>
    <row r="28" spans="1:4" ht="23.25" x14ac:dyDescent="0.5">
      <c r="A28" s="62" t="str">
        <f>WeeklyIncome[[#Headers],[ANNUAL HARVEST]]</f>
        <v>ANNUAL HARVEST</v>
      </c>
      <c r="B28" s="32"/>
      <c r="C28" s="32"/>
      <c r="D28" s="38">
        <f>WeeklyIncome[[#Totals],[ANNUAL HARVEST]]</f>
        <v>0</v>
      </c>
    </row>
    <row r="29" spans="1:4" ht="21" x14ac:dyDescent="0.35">
      <c r="A29" s="62"/>
      <c r="B29" s="32"/>
      <c r="C29" s="32"/>
      <c r="D29" s="39">
        <f>SUM(D8:D28)</f>
        <v>10824.6</v>
      </c>
    </row>
    <row r="30" spans="1:4" ht="21" x14ac:dyDescent="0.35">
      <c r="A30" s="35" t="s">
        <v>67</v>
      </c>
      <c r="B30" s="32"/>
      <c r="C30" s="32"/>
      <c r="D30" s="36"/>
    </row>
    <row r="31" spans="1:4" ht="21" x14ac:dyDescent="0.35">
      <c r="A31" s="35" t="s">
        <v>22</v>
      </c>
      <c r="B31" s="32"/>
      <c r="C31" s="137"/>
      <c r="D31" s="153">
        <f>SUM(C32:C39)</f>
        <v>2012</v>
      </c>
    </row>
    <row r="32" spans="1:4" ht="21" x14ac:dyDescent="0.35">
      <c r="A32" s="63" t="s">
        <v>0</v>
      </c>
      <c r="B32" s="32"/>
      <c r="C32" s="32">
        <f>D11</f>
        <v>1589</v>
      </c>
      <c r="D32" s="32"/>
    </row>
    <row r="33" spans="1:4" ht="21" x14ac:dyDescent="0.35">
      <c r="A33" s="63" t="s">
        <v>1</v>
      </c>
      <c r="B33" s="32"/>
      <c r="C33" s="32">
        <f>PRODUCT(D12*0.4)</f>
        <v>271.2</v>
      </c>
      <c r="D33" s="32"/>
    </row>
    <row r="34" spans="1:4" ht="21" x14ac:dyDescent="0.35">
      <c r="A34" s="63" t="s">
        <v>2</v>
      </c>
      <c r="B34" s="32"/>
      <c r="C34" s="32">
        <f>PRODUCT(D13*0.4)</f>
        <v>62</v>
      </c>
      <c r="D34" s="32"/>
    </row>
    <row r="35" spans="1:4" ht="21" x14ac:dyDescent="0.35">
      <c r="A35" s="63" t="s">
        <v>3</v>
      </c>
      <c r="B35" s="32"/>
      <c r="C35" s="32">
        <f>PRODUCT(D14*0.4)</f>
        <v>89.800000000000011</v>
      </c>
      <c r="D35" s="137"/>
    </row>
    <row r="36" spans="1:4" ht="21" x14ac:dyDescent="0.35">
      <c r="A36" s="62" t="s">
        <v>68</v>
      </c>
      <c r="B36" s="32"/>
      <c r="C36" s="32">
        <v>0</v>
      </c>
      <c r="D36" s="32"/>
    </row>
    <row r="37" spans="1:4" ht="21" x14ac:dyDescent="0.35">
      <c r="A37" s="62" t="s">
        <v>6</v>
      </c>
      <c r="B37" s="32"/>
      <c r="C37" s="32">
        <f>D28*0.1</f>
        <v>0</v>
      </c>
      <c r="D37" s="32"/>
    </row>
    <row r="38" spans="1:4" ht="21" x14ac:dyDescent="0.35">
      <c r="A38" s="62" t="str">
        <f>WeeklyExpenditure[[#Headers],[CONFERENCE FUND]]</f>
        <v>CONFERENCE FUND</v>
      </c>
      <c r="B38" s="32"/>
      <c r="C38" s="32">
        <f>WeeklyExpenditure[[#Totals],[CONFERENCE FUND]]</f>
        <v>0</v>
      </c>
      <c r="D38" s="32"/>
    </row>
    <row r="39" spans="1:4" ht="21" x14ac:dyDescent="0.35">
      <c r="A39" s="63" t="s">
        <v>28</v>
      </c>
      <c r="B39" s="32"/>
      <c r="C39" s="32">
        <f>D19/3</f>
        <v>0</v>
      </c>
      <c r="D39" s="36"/>
    </row>
    <row r="40" spans="1:4" ht="21" x14ac:dyDescent="0.35">
      <c r="A40" s="35" t="s">
        <v>23</v>
      </c>
      <c r="B40" s="32"/>
      <c r="C40" s="137"/>
      <c r="D40" s="153">
        <f>SUM(C41:C46)</f>
        <v>105.75</v>
      </c>
    </row>
    <row r="41" spans="1:4" ht="21" x14ac:dyDescent="0.35">
      <c r="A41" s="63" t="s">
        <v>1</v>
      </c>
      <c r="B41" s="32"/>
      <c r="C41" s="32">
        <f>PRODUCT(D12*0.1)</f>
        <v>67.8</v>
      </c>
      <c r="D41" s="32"/>
    </row>
    <row r="42" spans="1:4" ht="21" x14ac:dyDescent="0.35">
      <c r="A42" s="63" t="s">
        <v>2</v>
      </c>
      <c r="B42" s="32"/>
      <c r="C42" s="32">
        <f>PRODUCT(D13*0.1)</f>
        <v>15.5</v>
      </c>
      <c r="D42" s="32"/>
    </row>
    <row r="43" spans="1:4" ht="21" x14ac:dyDescent="0.35">
      <c r="A43" s="63" t="s">
        <v>3</v>
      </c>
      <c r="B43" s="32"/>
      <c r="C43" s="32">
        <f>PRODUCT(D14*0.1)</f>
        <v>22.450000000000003</v>
      </c>
      <c r="D43" s="32"/>
    </row>
    <row r="44" spans="1:4" ht="21" x14ac:dyDescent="0.35">
      <c r="A44" s="63" t="s">
        <v>6</v>
      </c>
      <c r="B44" s="32"/>
      <c r="C44" s="32">
        <f>D28*0.1</f>
        <v>0</v>
      </c>
      <c r="D44" s="32"/>
    </row>
    <row r="45" spans="1:4" ht="21" x14ac:dyDescent="0.35">
      <c r="A45" s="62" t="str">
        <f>WeeklyExpenditure[[#Headers],[DISTRICT FUND]]</f>
        <v>DISTRICT FUND</v>
      </c>
      <c r="B45" s="32"/>
      <c r="C45" s="32">
        <f>WeeklyExpenditure[[#Totals],[DISTRICT FUND]]</f>
        <v>0</v>
      </c>
      <c r="D45" s="32"/>
    </row>
    <row r="46" spans="1:4" ht="21" x14ac:dyDescent="0.35">
      <c r="A46" s="63" t="s">
        <v>28</v>
      </c>
      <c r="B46" s="32"/>
      <c r="C46" s="32">
        <f>PRODUCT(D19/3)</f>
        <v>0</v>
      </c>
      <c r="D46" s="36"/>
    </row>
    <row r="47" spans="1:4" ht="21" x14ac:dyDescent="0.35">
      <c r="A47" s="35" t="s">
        <v>142</v>
      </c>
      <c r="B47" s="32"/>
      <c r="C47" s="32"/>
      <c r="D47" s="143">
        <f>SUM(C48:C66)</f>
        <v>8706.85</v>
      </c>
    </row>
    <row r="48" spans="1:4" ht="21" x14ac:dyDescent="0.35">
      <c r="A48" s="62" t="s">
        <v>66</v>
      </c>
      <c r="B48" s="32"/>
      <c r="C48" s="37">
        <f>WeeklyIncome[[#Totals],[RENT]]</f>
        <v>0</v>
      </c>
      <c r="D48" s="138"/>
    </row>
    <row r="49" spans="1:4" ht="21" x14ac:dyDescent="0.35">
      <c r="A49" s="62" t="s">
        <v>62</v>
      </c>
      <c r="B49" s="32"/>
      <c r="C49" s="65">
        <f>HerritageFunds[[#Totals],[AMOUNT]]</f>
        <v>4800</v>
      </c>
      <c r="D49" s="138"/>
    </row>
    <row r="50" spans="1:4" ht="21" x14ac:dyDescent="0.35">
      <c r="A50" s="62" t="str">
        <f>WeeklyIncome[[#Headers],[SYSTEMATIC OFFERING]]</f>
        <v>SYSTEMATIC OFFERING</v>
      </c>
      <c r="B50" s="32"/>
      <c r="C50" s="37">
        <f>PRODUCT(D12*0.5)</f>
        <v>339</v>
      </c>
      <c r="D50" s="138"/>
    </row>
    <row r="51" spans="1:4" ht="21" x14ac:dyDescent="0.35">
      <c r="A51" s="62" t="str">
        <f>WeeklyIncome[[#Headers],[THANKS OFFERING]]</f>
        <v>THANKS OFFERING</v>
      </c>
      <c r="B51" s="32"/>
      <c r="C51" s="37">
        <f t="shared" ref="C51:C52" si="0">PRODUCT(D13*0.5)</f>
        <v>77.5</v>
      </c>
      <c r="D51" s="138"/>
    </row>
    <row r="52" spans="1:4" ht="21" x14ac:dyDescent="0.35">
      <c r="A52" s="62" t="str">
        <f>WeeklyIncome[[#Headers],[LOOSE OFFERING]]</f>
        <v>LOOSE OFFERING</v>
      </c>
      <c r="B52" s="32"/>
      <c r="C52" s="37">
        <f t="shared" si="0"/>
        <v>112.25</v>
      </c>
      <c r="D52" s="138"/>
    </row>
    <row r="53" spans="1:4" ht="21" x14ac:dyDescent="0.35">
      <c r="A53" s="62" t="str">
        <f>WeeklyIncome[[#Headers],[EXPENSES OFFERING]]</f>
        <v>EXPENSES OFFERING</v>
      </c>
      <c r="B53" s="32"/>
      <c r="C53" s="37">
        <f>WeeklyIncome[[#Totals],[EXPENSES OFFERING]]</f>
        <v>574.1</v>
      </c>
      <c r="D53" s="138"/>
    </row>
    <row r="54" spans="1:4" ht="21" x14ac:dyDescent="0.35">
      <c r="A54" s="62" t="str">
        <f>WeeklyIncome[[#Headers],[WELFARE DUES]]</f>
        <v>WELFARE DUES</v>
      </c>
      <c r="B54" s="32"/>
      <c r="C54" s="37">
        <f>WeeklyIncome[[#Totals],[WELFARE DUES]]</f>
        <v>532</v>
      </c>
      <c r="D54" s="138"/>
    </row>
    <row r="55" spans="1:4" ht="21" x14ac:dyDescent="0.35">
      <c r="A55" s="62" t="str">
        <f>WeeklyIncome[[#Headers],[HARVEST]]</f>
        <v>HARVEST</v>
      </c>
      <c r="B55" s="32"/>
      <c r="C55" s="37">
        <f>WeeklyIncome[[#Totals],[HARVEST]]</f>
        <v>0</v>
      </c>
      <c r="D55" s="138"/>
    </row>
    <row r="56" spans="1:4" ht="21" x14ac:dyDescent="0.35">
      <c r="A56" s="62" t="str">
        <f>WeeklyIncome[[#Headers],[SELLING OF TREES]]</f>
        <v>SELLING OF TREES</v>
      </c>
      <c r="B56" s="32"/>
      <c r="C56" s="37">
        <f>WeeklyIncome[[#Totals],[SELLING OF TREES]]</f>
        <v>0</v>
      </c>
      <c r="D56" s="138"/>
    </row>
    <row r="57" spans="1:4" ht="21" x14ac:dyDescent="0.35">
      <c r="A57" s="62" t="str">
        <f>WeeklyIncome[[#Headers],[BIBLE SOCIETY HARVEST]]</f>
        <v>BIBLE SOCIETY HARVEST</v>
      </c>
      <c r="B57" s="32"/>
      <c r="C57" s="32">
        <f>PRODUCT(D19/3)</f>
        <v>0</v>
      </c>
      <c r="D57" s="138"/>
    </row>
    <row r="58" spans="1:4" ht="21" x14ac:dyDescent="0.35">
      <c r="A58" s="62" t="str">
        <f>WeeklyIncome[[#Headers],[DONATIONS]]</f>
        <v>DONATIONS</v>
      </c>
      <c r="B58" s="32"/>
      <c r="C58" s="37">
        <f>WeeklyIncome[[#Totals],[DONATIONS]]</f>
        <v>600</v>
      </c>
      <c r="D58" s="138"/>
    </row>
    <row r="59" spans="1:4" ht="21" x14ac:dyDescent="0.35">
      <c r="A59" s="62" t="str">
        <f>WeeklyIncome[[#Headers],[FUND RAISING / SPECIAL HARVEST]]</f>
        <v>FUND RAISING / SPECIAL HARVEST</v>
      </c>
      <c r="B59" s="32"/>
      <c r="C59" s="37">
        <f>WeeklyIncome[[#Totals],[FUND RAISING / SPECIAL HARVEST]]</f>
        <v>1435</v>
      </c>
      <c r="D59" s="138"/>
    </row>
    <row r="60" spans="1:4" ht="21" x14ac:dyDescent="0.35">
      <c r="A60" s="62" t="str">
        <f>WeeklyIncome[[#Headers],[ZONAL CONTRIBUTION]]</f>
        <v>ZONAL CONTRIBUTION</v>
      </c>
      <c r="B60" s="32"/>
      <c r="C60" s="37">
        <f>WeeklyIncome[[#Totals],[ZONAL CONTRIBUTION]]</f>
        <v>237</v>
      </c>
      <c r="D60" s="138"/>
    </row>
    <row r="61" spans="1:4" ht="21" x14ac:dyDescent="0.35">
      <c r="A61" s="62" t="str">
        <f>WeeklyIncome[[#Headers],[LORD''S SUPPER]]</f>
        <v>LORD'S SUPPER</v>
      </c>
      <c r="B61" s="32"/>
      <c r="C61" s="37">
        <f>WeeklyIncome[[#Totals],[LORD''S SUPPER]]</f>
        <v>0</v>
      </c>
      <c r="D61" s="138"/>
    </row>
    <row r="62" spans="1:4" ht="21" x14ac:dyDescent="0.35">
      <c r="A62" s="62" t="str">
        <f>WeeklyIncome[[#Headers],[AMM HARVEST]]</f>
        <v>AMM HARVEST</v>
      </c>
      <c r="B62" s="32"/>
      <c r="C62" s="37">
        <f>WeeklyIncome[[#Totals],[AMM HARVEST]]</f>
        <v>0</v>
      </c>
      <c r="D62" s="138"/>
    </row>
    <row r="63" spans="1:4" ht="21" x14ac:dyDescent="0.35">
      <c r="A63" s="62" t="str">
        <f>WeeklyIncome[[#Headers],[HOME COMING]]</f>
        <v>HOME COMING</v>
      </c>
      <c r="B63" s="32"/>
      <c r="C63" s="37">
        <f>WeeklyIncome[[#Totals],[HOME COMING]]</f>
        <v>0</v>
      </c>
      <c r="D63" s="138"/>
    </row>
    <row r="64" spans="1:4" ht="21" x14ac:dyDescent="0.35">
      <c r="A64" s="62" t="str">
        <f>WeeklyIncome[[#Headers],[CHOIR]]</f>
        <v>CHOIR</v>
      </c>
      <c r="B64" s="32"/>
      <c r="C64" s="37">
        <f>WeeklyIncome[[#Totals],[CHOIR]]</f>
        <v>0</v>
      </c>
      <c r="D64" s="138"/>
    </row>
    <row r="65" spans="1:4" ht="21" x14ac:dyDescent="0.35">
      <c r="A65" s="62" t="str">
        <f>WeeklyIncome[[#Headers],[NURSERY]]</f>
        <v>NURSERY</v>
      </c>
      <c r="B65" s="32"/>
      <c r="C65" s="37">
        <f>WeeklyIncome[[#Totals],[NURSERY]]</f>
        <v>0</v>
      </c>
      <c r="D65" s="138"/>
    </row>
    <row r="66" spans="1:4" ht="23.25" x14ac:dyDescent="0.5">
      <c r="A66" s="62" t="str">
        <f>WeeklyIncome[[#Headers],[ANNUAL HARVEST]]</f>
        <v>ANNUAL HARVEST</v>
      </c>
      <c r="B66" s="32"/>
      <c r="C66" s="38">
        <f>PRODUCT(D28*0.8)</f>
        <v>0</v>
      </c>
      <c r="D66" s="36"/>
    </row>
    <row r="67" spans="1:4" ht="23.25" x14ac:dyDescent="0.5">
      <c r="A67" s="62"/>
      <c r="B67" s="32"/>
      <c r="C67" s="38"/>
      <c r="D67" s="143">
        <f>SUM(D47,D40,D31)</f>
        <v>10824.6</v>
      </c>
    </row>
    <row r="68" spans="1:4" ht="23.25" x14ac:dyDescent="0.5">
      <c r="A68" s="140" t="s">
        <v>143</v>
      </c>
      <c r="B68" s="32"/>
      <c r="C68" s="38"/>
      <c r="D68" s="138"/>
    </row>
    <row r="69" spans="1:4" ht="23.25" x14ac:dyDescent="0.5">
      <c r="A69" s="62" t="s">
        <v>144</v>
      </c>
      <c r="B69" s="32"/>
      <c r="C69" s="141"/>
      <c r="D69" s="138"/>
    </row>
    <row r="70" spans="1:4" ht="23.25" x14ac:dyDescent="0.5">
      <c r="A70" s="62" t="s">
        <v>22</v>
      </c>
      <c r="B70" s="32"/>
      <c r="C70" s="141"/>
      <c r="D70" s="151">
        <f>D31</f>
        <v>2012</v>
      </c>
    </row>
    <row r="71" spans="1:4" ht="23.25" x14ac:dyDescent="0.5">
      <c r="A71" s="62" t="s">
        <v>23</v>
      </c>
      <c r="B71" s="32"/>
      <c r="C71" s="141"/>
      <c r="D71" s="141">
        <f>D40</f>
        <v>105.75</v>
      </c>
    </row>
    <row r="72" spans="1:4" ht="23.25" x14ac:dyDescent="0.5">
      <c r="A72" s="62" t="s">
        <v>7</v>
      </c>
      <c r="B72" s="32"/>
      <c r="C72" s="141"/>
      <c r="D72" s="152">
        <f>SUM(D70:D71)</f>
        <v>2117.75</v>
      </c>
    </row>
    <row r="73" spans="1:4" ht="23.25" x14ac:dyDescent="0.5">
      <c r="A73" s="62"/>
      <c r="B73" s="32"/>
      <c r="C73" s="141"/>
      <c r="D73" s="138"/>
    </row>
    <row r="74" spans="1:4" ht="23.25" x14ac:dyDescent="0.5">
      <c r="A74" s="144" t="s">
        <v>110</v>
      </c>
      <c r="B74" s="145"/>
      <c r="C74" s="146"/>
      <c r="D74" s="147"/>
    </row>
    <row r="75" spans="1:4" ht="23.25" x14ac:dyDescent="0.5">
      <c r="A75" s="35" t="s">
        <v>142</v>
      </c>
      <c r="B75" s="32"/>
      <c r="C75" s="141"/>
      <c r="D75" s="142">
        <f>D47</f>
        <v>8706.85</v>
      </c>
    </row>
    <row r="76" spans="1:4" ht="23.25" x14ac:dyDescent="0.5">
      <c r="A76" s="35" t="s">
        <v>153</v>
      </c>
      <c r="B76" s="32"/>
      <c r="C76" s="141"/>
      <c r="D76" s="142">
        <f>SUM(C77:C107)</f>
        <v>2311</v>
      </c>
    </row>
    <row r="77" spans="1:4" ht="21" x14ac:dyDescent="0.35">
      <c r="A77" s="62" t="str">
        <f>WeeklyExpenditure[[#Headers],[FOOD, WATER AND DRINKS]]</f>
        <v>FOOD, WATER AND DRINKS</v>
      </c>
      <c r="B77" s="32"/>
      <c r="C77" s="33">
        <f>WeeklyExpenditure[[#Totals],[FOOD, WATER AND DRINKS]]</f>
        <v>353</v>
      </c>
      <c r="D77" s="36"/>
    </row>
    <row r="78" spans="1:4" ht="21" x14ac:dyDescent="0.35">
      <c r="A78" s="62" t="str">
        <f>WeeklyExpenditure[[#Headers],[COVID 19  ITEMS]]</f>
        <v>COVID 19  ITEMS</v>
      </c>
      <c r="B78" s="32"/>
      <c r="C78" s="33">
        <f>WeeklyExpenditure[[#Totals],[COVID 19  ITEMS]]</f>
        <v>110</v>
      </c>
      <c r="D78" s="36"/>
    </row>
    <row r="79" spans="1:4" ht="21" x14ac:dyDescent="0.35">
      <c r="A79" s="62" t="str">
        <f>WeeklyExpenditure[[#Headers],[TRANSPORTATION]]</f>
        <v>TRANSPORTATION</v>
      </c>
      <c r="B79" s="32"/>
      <c r="C79" s="33">
        <f>WeeklyExpenditure[[#Totals],[TRANSPORTATION]]</f>
        <v>20</v>
      </c>
      <c r="D79" s="36"/>
    </row>
    <row r="80" spans="1:4" ht="21" x14ac:dyDescent="0.35">
      <c r="A80" s="62" t="str">
        <f>WeeklyExpenditure[[#Headers],[DONATION]]</f>
        <v>DONATION</v>
      </c>
      <c r="B80" s="32"/>
      <c r="C80" s="33">
        <f>WeeklyExpenditure[[#Totals],[DONATION]]</f>
        <v>150</v>
      </c>
      <c r="D80" s="36"/>
    </row>
    <row r="81" spans="1:4" ht="21" x14ac:dyDescent="0.35">
      <c r="A81" s="62" t="str">
        <f>WeeklyExpenditure[[#Headers],[PRINTING &amp; BOOKS]]</f>
        <v>PRINTING &amp; BOOKS</v>
      </c>
      <c r="B81" s="32"/>
      <c r="C81" s="33">
        <f>WeeklyExpenditure[[#Totals],[PRINTING &amp; BOOKS]]</f>
        <v>150</v>
      </c>
      <c r="D81" s="36"/>
    </row>
    <row r="82" spans="1:4" ht="21" x14ac:dyDescent="0.35">
      <c r="A82" s="62" t="str">
        <f>WeeklyExpenditure[[#Headers],[NURSERY]]</f>
        <v>NURSERY</v>
      </c>
      <c r="B82" s="32"/>
      <c r="C82" s="33">
        <f>WeeklyExpenditure[[#Totals],[NURSERY]]</f>
        <v>0</v>
      </c>
      <c r="D82" s="36"/>
    </row>
    <row r="83" spans="1:4" ht="21" x14ac:dyDescent="0.35">
      <c r="A83" s="62" t="str">
        <f>WeeklyExpenditure[[#Headers],[SABBATH SCHOOL]]</f>
        <v>SABBATH SCHOOL</v>
      </c>
      <c r="B83" s="32"/>
      <c r="C83" s="33">
        <f>WeeklyExpenditure[[#Totals],[SABBATH SCHOOL]]</f>
        <v>0</v>
      </c>
      <c r="D83" s="36"/>
    </row>
    <row r="84" spans="1:4" ht="21" x14ac:dyDescent="0.35">
      <c r="A84" s="62" t="str">
        <f>WeeklyExpenditure[[#Headers],[RENOVATION TEACHERS BUNGALOW]]</f>
        <v>RENOVATION TEACHERS BUNGALOW</v>
      </c>
      <c r="B84" s="32"/>
      <c r="C84" s="33">
        <f>WeeklyExpenditure[[#Totals],[RENOVATION TEACHERS BUNGALOW]]</f>
        <v>0</v>
      </c>
      <c r="D84" s="36"/>
    </row>
    <row r="85" spans="1:4" ht="21" x14ac:dyDescent="0.35">
      <c r="A85" s="62" t="str">
        <f>WeeklyExpenditure[[#Headers],[MECHANISED WATER PROJECT]]</f>
        <v>MECHANISED WATER PROJECT</v>
      </c>
      <c r="B85" s="32"/>
      <c r="C85" s="33">
        <f>WeeklyExpenditure[[#Totals],[MECHANISED WATER PROJECT]]</f>
        <v>0</v>
      </c>
      <c r="D85" s="36"/>
    </row>
    <row r="86" spans="1:4" ht="21" x14ac:dyDescent="0.35">
      <c r="A86" s="62" t="str">
        <f>WeeklyExpenditure[[#Headers],[WAGES (NURSERY)]]</f>
        <v>WAGES (NURSERY)</v>
      </c>
      <c r="B86" s="32"/>
      <c r="C86" s="33">
        <f>WeeklyExpenditure[[#Totals],[WAGES (NURSERY)]]</f>
        <v>0</v>
      </c>
      <c r="D86" s="36"/>
    </row>
    <row r="87" spans="1:4" ht="21" x14ac:dyDescent="0.35">
      <c r="A87" s="62" t="str">
        <f>WeeklyExpenditure[[#Headers],[BEAUTIFICATION OF CHURCH &amp; SCHOOL COMPOUND]]</f>
        <v>BEAUTIFICATION OF CHURCH &amp; SCHOOL COMPOUND</v>
      </c>
      <c r="B87" s="32"/>
      <c r="C87" s="33">
        <f>WeeklyExpenditure[[#Totals],[BEAUTIFICATION OF CHURCH &amp; SCHOOL COMPOUND]]</f>
        <v>0</v>
      </c>
      <c r="D87" s="36"/>
    </row>
    <row r="88" spans="1:4" ht="21" x14ac:dyDescent="0.35">
      <c r="A88" s="62" t="str">
        <f>WeeklyExpenditure[[#Headers],[AYS (T&amp;T, Others)]]</f>
        <v>AYS (T&amp;T, Others)</v>
      </c>
      <c r="B88" s="32"/>
      <c r="C88" s="33">
        <f>WeeklyExpenditure[[#Totals],[AYS (T&amp;T, Others)]]</f>
        <v>0</v>
      </c>
      <c r="D88" s="36"/>
    </row>
    <row r="89" spans="1:4" ht="21" x14ac:dyDescent="0.35">
      <c r="A89" s="62" t="str">
        <f>WeeklyExpenditure[[#Headers],[CHOIR (T&amp;T, Others]]</f>
        <v>CHOIR (T&amp;T, Others</v>
      </c>
      <c r="B89" s="32"/>
      <c r="C89" s="33">
        <f>WeeklyExpenditure[[#Totals],[CHOIR (T&amp;T, Others]]</f>
        <v>0</v>
      </c>
      <c r="D89" s="36"/>
    </row>
    <row r="90" spans="1:4" ht="21" x14ac:dyDescent="0.35">
      <c r="A90" s="62" t="str">
        <f>WeeklyExpenditure[[#Headers],[SINGING BAND (T&amp;T, Others)]]</f>
        <v>SINGING BAND (T&amp;T, Others)</v>
      </c>
      <c r="B90" s="32"/>
      <c r="C90" s="33">
        <f>WeeklyExpenditure[[#Totals],[SINGING BAND (T&amp;T, Others)]]</f>
        <v>0</v>
      </c>
      <c r="D90" s="36"/>
    </row>
    <row r="91" spans="1:4" ht="21" x14ac:dyDescent="0.35">
      <c r="A91" s="62" t="str">
        <f>WeeklyExpenditure[[#Headers],[AMM (T&amp;T, Others)]]</f>
        <v>AMM (T&amp;T, Others)</v>
      </c>
      <c r="B91" s="32"/>
      <c r="C91" s="33">
        <f>WeeklyExpenditure[[#Totals],[AMM (T&amp;T, Others)]]</f>
        <v>0</v>
      </c>
      <c r="D91" s="36"/>
    </row>
    <row r="92" spans="1:4" ht="21" x14ac:dyDescent="0.35">
      <c r="A92" s="62" t="str">
        <f>WeeklyExpenditure[[#Headers],[WOMEN MINSTRY (T&amp;T, Others]]</f>
        <v>WOMEN MINSTRY (T&amp;T, Others</v>
      </c>
      <c r="B92" s="32"/>
      <c r="C92" s="33">
        <f>WeeklyExpenditure[[#Totals],[WOMEN MINSTRY (T&amp;T, Others]]</f>
        <v>110</v>
      </c>
      <c r="D92" s="36"/>
    </row>
    <row r="93" spans="1:4" ht="21" x14ac:dyDescent="0.35">
      <c r="A93" s="35" t="s">
        <v>69</v>
      </c>
      <c r="B93" s="31"/>
      <c r="C93" s="32">
        <f>SUM(B94:B95)</f>
        <v>1418</v>
      </c>
      <c r="D93" s="36"/>
    </row>
    <row r="94" spans="1:4" ht="21" x14ac:dyDescent="0.35">
      <c r="A94" s="62" t="str">
        <f>WeeklyExpenditure[[#Headers],[WELFARE FUNERAL DONATIONS]]</f>
        <v>WELFARE FUNERAL DONATIONS</v>
      </c>
      <c r="B94" s="33">
        <f>WeeklyExpenditure[[#Totals],[WELFARE FUNERAL DONATIONS]]</f>
        <v>1368</v>
      </c>
      <c r="C94" s="32"/>
      <c r="D94" s="36"/>
    </row>
    <row r="95" spans="1:4" ht="21" x14ac:dyDescent="0.35">
      <c r="A95" s="62" t="str">
        <f>WeeklyExpenditure[[#Headers],[WELFARE OTHER DONATIONS (MARRIAGE, ETC)]]</f>
        <v>WELFARE OTHER DONATIONS (MARRIAGE, ETC)</v>
      </c>
      <c r="B95" s="33">
        <f>WeeklyExpenditure[[#Totals],[WELFARE OTHER DONATIONS (MARRIAGE, ETC)]]</f>
        <v>50</v>
      </c>
      <c r="C95" s="32"/>
      <c r="D95" s="36"/>
    </row>
    <row r="96" spans="1:4" ht="21" x14ac:dyDescent="0.35">
      <c r="A96" s="62" t="str">
        <f>WeeklyExpenditure[[#Headers],[PROJECTOR]]</f>
        <v>PROJECTOR</v>
      </c>
      <c r="B96" s="137"/>
      <c r="C96" s="33">
        <f>WeeklyExpenditure[[#Totals],[PROJECTOR]]</f>
        <v>0</v>
      </c>
      <c r="D96" s="138"/>
    </row>
    <row r="97" spans="1:4" ht="21" x14ac:dyDescent="0.35">
      <c r="A97" s="62" t="str">
        <f>WeeklyExpenditure[[#Headers],[MAITENANCE / REPAIRS]]</f>
        <v>MAITENANCE / REPAIRS</v>
      </c>
      <c r="B97" s="32"/>
      <c r="C97" s="33">
        <f>WeeklyExpenditure[[#Totals],[MAITENANCE / REPAIRS]]</f>
        <v>0</v>
      </c>
      <c r="D97" s="36"/>
    </row>
    <row r="98" spans="1:4" ht="21" x14ac:dyDescent="0.35">
      <c r="A98" s="62" t="str">
        <f>WeeklyExpenditure[[#Headers],[LORD''S SUPPER]]</f>
        <v>LORD'S SUPPER</v>
      </c>
      <c r="B98" s="32"/>
      <c r="C98" s="33">
        <f>WeeklyExpenditure[[#Totals],[LORD''S SUPPER]]</f>
        <v>0</v>
      </c>
      <c r="D98" s="36"/>
    </row>
    <row r="99" spans="1:4" ht="21" x14ac:dyDescent="0.35">
      <c r="A99" s="62" t="str">
        <f>WeeklyExpenditure[[#Headers],[LOAN (REPAYMENT]]</f>
        <v>LOAN (REPAYMENT</v>
      </c>
      <c r="B99" s="32"/>
      <c r="C99" s="33">
        <f>WeeklyExpenditure[[#Totals],[LOAN (REPAYMENT]]</f>
        <v>0</v>
      </c>
      <c r="D99" s="36"/>
    </row>
    <row r="100" spans="1:4" ht="21" x14ac:dyDescent="0.35">
      <c r="A100" s="62" t="str">
        <f>WeeklyExpenditure[[#Headers],[WASHROOM PROJECT]]</f>
        <v>WASHROOM PROJECT</v>
      </c>
      <c r="B100" s="32"/>
      <c r="C100" s="33">
        <f>WeeklyExpenditure[[#Totals],[WASHROOM PROJECT]]</f>
        <v>0</v>
      </c>
      <c r="D100" s="36"/>
    </row>
    <row r="101" spans="1:4" ht="21" x14ac:dyDescent="0.35">
      <c r="A101" s="62" t="str">
        <f>WeeklyExpenditure[[#Headers],[HARVEST EXPENDITURE]]</f>
        <v>HARVEST EXPENDITURE</v>
      </c>
      <c r="B101" s="32"/>
      <c r="C101" s="33">
        <f>WeeklyExpenditure[[#Totals],[HARVEST EXPENDITURE]]</f>
        <v>0</v>
      </c>
      <c r="D101" s="36"/>
    </row>
    <row r="102" spans="1:4" ht="21" x14ac:dyDescent="0.35">
      <c r="A102" s="62" t="str">
        <f>WeeklyExpenditure[[#Headers],[ELECTRICITY]]</f>
        <v>ELECTRICITY</v>
      </c>
      <c r="B102" s="32"/>
      <c r="C102" s="33">
        <f>WeeklyExpenditure[[#Totals],[ELECTRICITY]]</f>
        <v>0</v>
      </c>
      <c r="D102" s="36"/>
    </row>
    <row r="103" spans="1:4" ht="21" x14ac:dyDescent="0.35">
      <c r="A103" s="62" t="s">
        <v>83</v>
      </c>
      <c r="B103" s="32"/>
      <c r="C103" s="33">
        <v>0</v>
      </c>
      <c r="D103" s="36"/>
    </row>
    <row r="104" spans="1:4" ht="21" x14ac:dyDescent="0.35">
      <c r="A104" s="62" t="str">
        <f>WeeklyExpenditure[[#Headers],[POST  OFFICE]]</f>
        <v>POST  OFFICE</v>
      </c>
      <c r="B104" s="32"/>
      <c r="C104" s="33">
        <f>WeeklyExpenditure[[#Totals],[POST  OFFICE]]</f>
        <v>0</v>
      </c>
      <c r="D104" s="36"/>
    </row>
    <row r="105" spans="1:4" ht="21" x14ac:dyDescent="0.35">
      <c r="A105" s="62" t="str">
        <f>WeeklyExpenditure[[#Headers],[HOME COMING]]</f>
        <v>HOME COMING</v>
      </c>
      <c r="B105" s="32"/>
      <c r="C105" s="33">
        <f>WeeklyExpenditure[[#Totals],[HOME COMING]]</f>
        <v>0</v>
      </c>
      <c r="D105" s="36"/>
    </row>
    <row r="106" spans="1:4" ht="21" x14ac:dyDescent="0.35">
      <c r="A106" s="62" t="str">
        <f>WeeklyExpenditure[[#Headers],[TRADITIONAL DAY]]</f>
        <v>TRADITIONAL DAY</v>
      </c>
      <c r="B106" s="32"/>
      <c r="C106" s="33">
        <f>WeeklyExpenditure[[#Totals],[TRADITIONAL DAY]]</f>
        <v>0</v>
      </c>
      <c r="D106" s="36"/>
    </row>
    <row r="107" spans="1:4" ht="21" x14ac:dyDescent="0.35">
      <c r="A107" s="62" t="str">
        <f>WeeklyExpenditure[[#Headers],[CARE FOR THE AGED &amp; SICK]]</f>
        <v>CARE FOR THE AGED &amp; SICK</v>
      </c>
      <c r="B107" s="32"/>
      <c r="C107" s="33">
        <f>WeeklyExpenditure[[#Totals],[CARE FOR THE AGED &amp; SICK]]</f>
        <v>0</v>
      </c>
      <c r="D107" s="36"/>
    </row>
    <row r="108" spans="1:4" ht="44.25" x14ac:dyDescent="0.5">
      <c r="A108" s="64" t="str">
        <f>WeeklyExpenditure[[#Headers],[MISCELLANEOUS (Soap, Washing Powder, Others)]]</f>
        <v>MISCELLANEOUS (Soap, Washing Powder, Others)</v>
      </c>
      <c r="B108" s="32"/>
      <c r="C108" s="33">
        <f>WeeklyExpenditure[[#Totals],[MISCELLANEOUS (Soap, Washing Powder, Others)]]</f>
        <v>105</v>
      </c>
      <c r="D108" s="40"/>
    </row>
    <row r="109" spans="1:4" ht="21" x14ac:dyDescent="0.35">
      <c r="A109" s="62"/>
      <c r="B109" s="32"/>
      <c r="C109" s="32"/>
      <c r="D109" s="36"/>
    </row>
    <row r="110" spans="1:4" ht="23.25" x14ac:dyDescent="0.5">
      <c r="A110" s="44" t="str">
        <f>IF(D29&gt;D108,"SURPLUS",IF(D29=D108,"BREAKEVEN",IF(D29&lt;D108,"DEFICIT","")))</f>
        <v>SURPLUS</v>
      </c>
      <c r="B110" s="45"/>
      <c r="C110" s="45"/>
      <c r="D110" s="46">
        <f>SUM(D75-D76)</f>
        <v>6395.85</v>
      </c>
    </row>
    <row r="112" spans="1:4" x14ac:dyDescent="0.25">
      <c r="A112" s="148" t="s">
        <v>145</v>
      </c>
      <c r="B112" s="269" t="s">
        <v>146</v>
      </c>
      <c r="C112" s="269"/>
      <c r="D112" s="269"/>
    </row>
    <row r="113" spans="1:4" x14ac:dyDescent="0.25">
      <c r="A113" s="149" t="s">
        <v>150</v>
      </c>
      <c r="B113" s="149" t="s">
        <v>147</v>
      </c>
      <c r="C113" s="149" t="s">
        <v>148</v>
      </c>
      <c r="D113" s="149" t="s">
        <v>24</v>
      </c>
    </row>
    <row r="114" spans="1:4" x14ac:dyDescent="0.25">
      <c r="A114" s="149" t="s">
        <v>0</v>
      </c>
      <c r="B114" s="150">
        <v>1</v>
      </c>
      <c r="C114" s="150">
        <v>0</v>
      </c>
      <c r="D114" s="150">
        <v>0</v>
      </c>
    </row>
    <row r="115" spans="1:4" x14ac:dyDescent="0.25">
      <c r="A115" s="149" t="s">
        <v>1</v>
      </c>
      <c r="B115" s="150">
        <v>0.4</v>
      </c>
      <c r="C115" s="150">
        <v>0.1</v>
      </c>
      <c r="D115" s="150">
        <v>0.5</v>
      </c>
    </row>
    <row r="116" spans="1:4" x14ac:dyDescent="0.25">
      <c r="A116" s="149" t="s">
        <v>2</v>
      </c>
      <c r="B116" s="150">
        <v>0.4</v>
      </c>
      <c r="C116" s="150">
        <v>0.1</v>
      </c>
      <c r="D116" s="150">
        <v>0.5</v>
      </c>
    </row>
    <row r="117" spans="1:4" x14ac:dyDescent="0.25">
      <c r="A117" s="149" t="s">
        <v>3</v>
      </c>
      <c r="B117" s="150">
        <v>0.4</v>
      </c>
      <c r="C117" s="150">
        <v>0.1</v>
      </c>
      <c r="D117" s="150">
        <v>0.5</v>
      </c>
    </row>
    <row r="118" spans="1:4" x14ac:dyDescent="0.25">
      <c r="A118" s="149" t="s">
        <v>6</v>
      </c>
      <c r="B118" s="150">
        <v>0.1</v>
      </c>
      <c r="C118" s="150">
        <v>0.1</v>
      </c>
      <c r="D118" s="150">
        <v>0.8</v>
      </c>
    </row>
  </sheetData>
  <sheetProtection insertRows="0" sort="0" autoFilter="0"/>
  <mergeCells count="5">
    <mergeCell ref="A1:D1"/>
    <mergeCell ref="A2:D2"/>
    <mergeCell ref="B3:D3"/>
    <mergeCell ref="A5:D5"/>
    <mergeCell ref="B112:D112"/>
  </mergeCells>
  <conditionalFormatting sqref="A110">
    <cfRule type="expression" dxfId="46" priority="1">
      <formula>$D$115&lt;0</formula>
    </cfRule>
    <cfRule type="expression" dxfId="45" priority="2">
      <formula>$D$115&gt;0</formula>
    </cfRule>
  </conditionalFormatting>
  <pageMargins left="0.25" right="0.25" top="0.75" bottom="0.75" header="0.3" footer="0.3"/>
  <pageSetup paperSize="9" scale="82" fitToHeight="0" orientation="portrait" r:id="rId1"/>
  <tableParts count="2">
    <tablePart r:id="rId2"/>
    <tablePart r:id="rId3"/>
  </tableParts>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errorTitle="Saturdays Only" error="Day must fall on Saturdays Only" promptTitle="SELECT A DATE" prompt="Select a date from the list below">
          <x14:formula1>
            <xm:f>'RECEIPT NUMBERS'!$A$2:$A$1048576</xm:f>
          </x14:formula1>
          <xm:sqref>B3:D3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pageSetUpPr fitToPage="1"/>
  </sheetPr>
  <dimension ref="A1:AF98"/>
  <sheetViews>
    <sheetView zoomScale="70" zoomScaleNormal="70" workbookViewId="0">
      <selection activeCell="I15" sqref="I15"/>
    </sheetView>
  </sheetViews>
  <sheetFormatPr defaultColWidth="9.140625" defaultRowHeight="21" x14ac:dyDescent="0.35"/>
  <cols>
    <col min="1" max="1" width="74.7109375" style="23" bestFit="1" customWidth="1"/>
    <col min="2" max="2" width="19.5703125" style="23" customWidth="1"/>
    <col min="3" max="3" width="25.7109375" style="23" customWidth="1"/>
    <col min="4" max="4" width="24.140625" style="23" customWidth="1"/>
    <col min="5" max="5" width="20.85546875" style="23" customWidth="1"/>
    <col min="6" max="6" width="10.140625" style="23" customWidth="1"/>
    <col min="7" max="7" width="9.28515625" style="23" customWidth="1"/>
    <col min="8" max="8" width="11.28515625" style="23" customWidth="1"/>
    <col min="9" max="9" width="27.85546875" style="23" bestFit="1" customWidth="1"/>
    <col min="10" max="10" width="16.28515625" style="23" bestFit="1" customWidth="1"/>
    <col min="11" max="11" width="14.7109375" style="23" customWidth="1"/>
    <col min="12" max="12" width="9.28515625" style="23" customWidth="1"/>
    <col min="13" max="13" width="8" style="23" customWidth="1"/>
    <col min="14" max="14" width="11.28515625" style="23" customWidth="1"/>
    <col min="15" max="15" width="12.5703125" style="23" customWidth="1"/>
    <col min="16" max="16" width="9.42578125" style="23" bestFit="1" customWidth="1"/>
    <col min="17" max="17" width="14.140625" style="23" bestFit="1" customWidth="1"/>
    <col min="18" max="18" width="11.7109375" style="23" bestFit="1" customWidth="1"/>
    <col min="19" max="20" width="11.5703125" style="23" bestFit="1" customWidth="1"/>
    <col min="21" max="21" width="9.42578125" style="23" bestFit="1" customWidth="1"/>
    <col min="22" max="22" width="14.140625" style="23" bestFit="1" customWidth="1"/>
    <col min="23" max="24" width="11.5703125" style="23" bestFit="1" customWidth="1"/>
    <col min="25" max="25" width="9.28515625" style="23" bestFit="1" customWidth="1"/>
    <col min="26" max="26" width="15.5703125" style="23" bestFit="1" customWidth="1"/>
    <col min="27" max="16384" width="9.140625" style="23"/>
  </cols>
  <sheetData>
    <row r="1" spans="1:22" x14ac:dyDescent="0.35">
      <c r="A1" s="275" t="s">
        <v>54</v>
      </c>
      <c r="B1" s="275"/>
      <c r="C1" s="275"/>
      <c r="D1" s="275"/>
    </row>
    <row r="2" spans="1:22" x14ac:dyDescent="0.35">
      <c r="A2" s="275" t="s">
        <v>55</v>
      </c>
      <c r="B2" s="275"/>
      <c r="C2" s="275"/>
      <c r="D2" s="275"/>
    </row>
    <row r="3" spans="1:22" ht="49.5" customHeight="1" x14ac:dyDescent="0.35">
      <c r="A3" s="281" t="s">
        <v>125</v>
      </c>
      <c r="B3" s="281"/>
      <c r="C3" s="281"/>
      <c r="D3" s="281"/>
    </row>
    <row r="4" spans="1:22" x14ac:dyDescent="0.35">
      <c r="A4" s="66" t="s">
        <v>56</v>
      </c>
      <c r="B4" s="42" t="s">
        <v>57</v>
      </c>
      <c r="C4" s="42" t="s">
        <v>96</v>
      </c>
      <c r="D4" s="43" t="s">
        <v>97</v>
      </c>
    </row>
    <row r="5" spans="1:22" x14ac:dyDescent="0.35">
      <c r="A5" s="35" t="s">
        <v>58</v>
      </c>
      <c r="B5" s="31"/>
      <c r="C5" s="31"/>
      <c r="D5" s="36"/>
    </row>
    <row r="6" spans="1:22" x14ac:dyDescent="0.35">
      <c r="A6" s="62" t="s">
        <v>59</v>
      </c>
      <c r="B6" s="32"/>
      <c r="C6" s="32"/>
      <c r="D6" s="65">
        <f>SUM(C7:C10)</f>
        <v>15226.93</v>
      </c>
    </row>
    <row r="7" spans="1:22" x14ac:dyDescent="0.35">
      <c r="A7" s="62" t="s">
        <v>60</v>
      </c>
      <c r="B7" s="32"/>
      <c r="C7" s="32">
        <v>6401.93</v>
      </c>
      <c r="D7" s="65"/>
      <c r="K7" s="24"/>
    </row>
    <row r="8" spans="1:22" x14ac:dyDescent="0.35">
      <c r="A8" s="62" t="s">
        <v>61</v>
      </c>
      <c r="B8" s="32"/>
      <c r="C8" s="32">
        <v>3425</v>
      </c>
      <c r="D8" s="65"/>
      <c r="K8" s="24"/>
    </row>
    <row r="9" spans="1:22" x14ac:dyDescent="0.35">
      <c r="A9" s="62" t="s">
        <v>62</v>
      </c>
      <c r="B9" s="32"/>
      <c r="C9" s="32">
        <v>5400</v>
      </c>
      <c r="D9" s="65"/>
      <c r="K9" s="24"/>
    </row>
    <row r="10" spans="1:22" x14ac:dyDescent="0.35">
      <c r="A10" s="62" t="s">
        <v>63</v>
      </c>
      <c r="B10" s="32"/>
      <c r="C10" s="32">
        <v>0</v>
      </c>
      <c r="D10" s="65"/>
      <c r="K10" s="24"/>
    </row>
    <row r="11" spans="1:22" x14ac:dyDescent="0.35">
      <c r="A11" s="62" t="s">
        <v>120</v>
      </c>
      <c r="B11" s="32"/>
      <c r="C11" s="32"/>
      <c r="D11" s="65">
        <v>0</v>
      </c>
    </row>
    <row r="12" spans="1:22" x14ac:dyDescent="0.35">
      <c r="A12" s="62" t="s">
        <v>64</v>
      </c>
      <c r="B12" s="32"/>
      <c r="C12" s="32"/>
      <c r="D12" s="65">
        <v>0</v>
      </c>
      <c r="K12" s="24"/>
    </row>
    <row r="13" spans="1:22" x14ac:dyDescent="0.35">
      <c r="A13" s="62" t="s">
        <v>65</v>
      </c>
      <c r="B13" s="32"/>
      <c r="C13" s="32"/>
      <c r="D13" s="65">
        <v>0</v>
      </c>
      <c r="K13" s="24"/>
    </row>
    <row r="14" spans="1:22" x14ac:dyDescent="0.35">
      <c r="A14" s="62" t="s">
        <v>66</v>
      </c>
      <c r="B14" s="32"/>
      <c r="C14" s="32"/>
      <c r="D14" s="37">
        <f>WeeklyIncome[[#Totals],[RENT]]</f>
        <v>0</v>
      </c>
      <c r="T14" s="26"/>
      <c r="V14" s="26"/>
    </row>
    <row r="15" spans="1:22" x14ac:dyDescent="0.35">
      <c r="A15" s="62" t="s">
        <v>62</v>
      </c>
      <c r="B15" s="32"/>
      <c r="C15" s="32"/>
      <c r="D15" s="65">
        <f>HerritageFunds[[#Totals],[AMOUNT]]</f>
        <v>4800</v>
      </c>
    </row>
    <row r="16" spans="1:22" x14ac:dyDescent="0.35">
      <c r="A16" s="62" t="str">
        <f>WeeklyIncome[[#Headers],[TITHE]]</f>
        <v>TITHE</v>
      </c>
      <c r="B16" s="32"/>
      <c r="C16" s="32"/>
      <c r="D16" s="37">
        <f>WeeklyIncome[[#Totals],[TITHE]]</f>
        <v>1589</v>
      </c>
    </row>
    <row r="17" spans="1:32" x14ac:dyDescent="0.35">
      <c r="A17" s="62" t="str">
        <f>WeeklyIncome[[#Headers],[SYSTEMATIC OFFERING]]</f>
        <v>SYSTEMATIC OFFERING</v>
      </c>
      <c r="B17" s="32"/>
      <c r="C17" s="32"/>
      <c r="D17" s="37">
        <f>WeeklyIncome[[#Totals],[SYSTEMATIC OFFERING]]</f>
        <v>678</v>
      </c>
    </row>
    <row r="18" spans="1:32" x14ac:dyDescent="0.35">
      <c r="A18" s="62" t="str">
        <f>WeeklyIncome[[#Headers],[THANKS OFFERING]]</f>
        <v>THANKS OFFERING</v>
      </c>
      <c r="B18" s="32"/>
      <c r="C18" s="32"/>
      <c r="D18" s="37">
        <f>WeeklyIncome[[#Totals],[THANKS OFFERING]]</f>
        <v>155</v>
      </c>
    </row>
    <row r="19" spans="1:32" x14ac:dyDescent="0.35">
      <c r="A19" s="62" t="str">
        <f>WeeklyIncome[[#Headers],[LOOSE OFFERING]]</f>
        <v>LOOSE OFFERING</v>
      </c>
      <c r="B19" s="32"/>
      <c r="C19" s="32"/>
      <c r="D19" s="37">
        <f>WeeklyIncome[[#Totals],[LOOSE OFFERING]]</f>
        <v>224.5</v>
      </c>
    </row>
    <row r="20" spans="1:32" x14ac:dyDescent="0.35">
      <c r="A20" s="62" t="str">
        <f>WeeklyIncome[[#Headers],[EXPENSES OFFERING]]</f>
        <v>EXPENSES OFFERING</v>
      </c>
      <c r="B20" s="32"/>
      <c r="C20" s="32"/>
      <c r="D20" s="37">
        <f>WeeklyIncome[[#Totals],[EXPENSES OFFERING]]</f>
        <v>574.1</v>
      </c>
    </row>
    <row r="21" spans="1:32" x14ac:dyDescent="0.35">
      <c r="A21" s="62" t="str">
        <f>WeeklyIncome[[#Headers],[WELFARE DUES]]</f>
        <v>WELFARE DUES</v>
      </c>
      <c r="B21" s="32"/>
      <c r="C21" s="32"/>
      <c r="D21" s="37">
        <f>WeeklyIncome[[#Totals],[WELFARE DUES]]</f>
        <v>532</v>
      </c>
    </row>
    <row r="22" spans="1:32" x14ac:dyDescent="0.35">
      <c r="A22" s="62" t="str">
        <f>WeeklyIncome[[#Headers],[HARVEST]]</f>
        <v>HARVEST</v>
      </c>
      <c r="B22" s="32"/>
      <c r="C22" s="32"/>
      <c r="D22" s="37">
        <f>WeeklyIncome[[#Totals],[HARVEST]]</f>
        <v>0</v>
      </c>
    </row>
    <row r="23" spans="1:32" x14ac:dyDescent="0.35">
      <c r="A23" s="62" t="str">
        <f>WeeklyIncome[[#Headers],[SELLING OF TREES]]</f>
        <v>SELLING OF TREES</v>
      </c>
      <c r="B23" s="32"/>
      <c r="C23" s="32"/>
      <c r="D23" s="37">
        <f>WeeklyIncome[[#Totals],[SELLING OF TREES]]</f>
        <v>0</v>
      </c>
      <c r="E23"/>
      <c r="F23"/>
      <c r="G23"/>
    </row>
    <row r="24" spans="1:32" x14ac:dyDescent="0.35">
      <c r="A24" s="62" t="str">
        <f>WeeklyIncome[[#Headers],[BIBLE SOCIETY HARVEST]]</f>
        <v>BIBLE SOCIETY HARVEST</v>
      </c>
      <c r="B24" s="32"/>
      <c r="C24" s="32"/>
      <c r="D24" s="37">
        <f>WeeklyIncome[[#Totals],[BIBLE SOCIETY HARVEST]]</f>
        <v>0</v>
      </c>
      <c r="E24"/>
      <c r="F24"/>
      <c r="G24"/>
    </row>
    <row r="25" spans="1:32" x14ac:dyDescent="0.35">
      <c r="A25" s="62" t="str">
        <f>WeeklyIncome[[#Headers],[DONATIONS]]</f>
        <v>DONATIONS</v>
      </c>
      <c r="B25" s="32"/>
      <c r="C25" s="32"/>
      <c r="D25" s="37">
        <f>WeeklyIncome[[#Totals],[DONATIONS]]</f>
        <v>600</v>
      </c>
      <c r="E25"/>
      <c r="F25"/>
      <c r="G25"/>
    </row>
    <row r="26" spans="1:32" x14ac:dyDescent="0.35">
      <c r="A26" s="62" t="str">
        <f>WeeklyIncome[[#Headers],[FUND RAISING / SPECIAL HARVEST]]</f>
        <v>FUND RAISING / SPECIAL HARVEST</v>
      </c>
      <c r="B26" s="32"/>
      <c r="C26" s="32"/>
      <c r="D26" s="37">
        <f>WeeklyIncome[[#Totals],[FUND RAISING / SPECIAL HARVEST]]</f>
        <v>1435</v>
      </c>
      <c r="E26"/>
      <c r="F26"/>
      <c r="G26"/>
    </row>
    <row r="27" spans="1:32" x14ac:dyDescent="0.35">
      <c r="A27" s="62" t="str">
        <f>WeeklyIncome[[#Headers],[ZONAL CONTRIBUTION]]</f>
        <v>ZONAL CONTRIBUTION</v>
      </c>
      <c r="B27" s="32"/>
      <c r="C27" s="32"/>
      <c r="D27" s="37">
        <f>WeeklyIncome[[#Totals],[ZONAL CONTRIBUTION]]</f>
        <v>237</v>
      </c>
      <c r="E27"/>
      <c r="F27"/>
      <c r="G27"/>
    </row>
    <row r="28" spans="1:32" x14ac:dyDescent="0.35">
      <c r="A28" s="62" t="str">
        <f>WeeklyIncome[[#Headers],[LORD''S SUPPER]]</f>
        <v>LORD'S SUPPER</v>
      </c>
      <c r="B28" s="32"/>
      <c r="C28" s="32"/>
      <c r="D28" s="37">
        <f>WeeklyIncome[[#Totals],[LORD''S SUPPER]]</f>
        <v>0</v>
      </c>
      <c r="E28"/>
      <c r="F28"/>
      <c r="G28"/>
    </row>
    <row r="29" spans="1:32" x14ac:dyDescent="0.35">
      <c r="A29" s="62" t="str">
        <f>WeeklyIncome[[#Headers],[AMM HARVEST]]</f>
        <v>AMM HARVEST</v>
      </c>
      <c r="B29" s="32"/>
      <c r="C29" s="32"/>
      <c r="D29" s="37">
        <f>WeeklyIncome[[#Totals],[AMM HARVEST]]</f>
        <v>0</v>
      </c>
    </row>
    <row r="30" spans="1:32" x14ac:dyDescent="0.35">
      <c r="A30" s="62" t="str">
        <f>WeeklyIncome[[#Headers],[HOME COMING]]</f>
        <v>HOME COMING</v>
      </c>
      <c r="B30" s="32"/>
      <c r="C30" s="32"/>
      <c r="D30" s="37">
        <f>WeeklyIncome[[#Totals],[HOME COMING]]</f>
        <v>0</v>
      </c>
    </row>
    <row r="31" spans="1:32" x14ac:dyDescent="0.35">
      <c r="A31" s="62" t="str">
        <f>WeeklyIncome[[#Headers],[CHOIR]]</f>
        <v>CHOIR</v>
      </c>
      <c r="B31" s="32"/>
      <c r="C31" s="32"/>
      <c r="D31" s="37">
        <f>WeeklyIncome[[#Totals],[CHOIR]]</f>
        <v>0</v>
      </c>
    </row>
    <row r="32" spans="1:32" x14ac:dyDescent="0.35">
      <c r="A32" s="62" t="str">
        <f>WeeklyIncome[[#Headers],[NURSERY]]</f>
        <v>NURSERY</v>
      </c>
      <c r="B32" s="32"/>
      <c r="C32" s="32"/>
      <c r="D32" s="37">
        <f>WeeklyIncome[[#Totals],[NURSERY]]</f>
        <v>0</v>
      </c>
      <c r="P32" s="24"/>
      <c r="Q32" s="24"/>
      <c r="R32" s="24"/>
      <c r="S32" s="24"/>
      <c r="T32" s="24"/>
      <c r="U32" s="24"/>
      <c r="V32" s="24"/>
      <c r="W32" s="24"/>
      <c r="X32" s="24"/>
      <c r="Y32" s="24"/>
      <c r="Z32" s="24"/>
      <c r="AA32" s="24"/>
      <c r="AB32" s="24"/>
      <c r="AC32" s="24"/>
      <c r="AD32" s="24"/>
      <c r="AE32" s="24"/>
      <c r="AF32" s="24"/>
    </row>
    <row r="33" spans="1:4" ht="23.25" x14ac:dyDescent="0.5">
      <c r="A33" s="62" t="str">
        <f>WeeklyIncome[[#Headers],[ANNUAL HARVEST]]</f>
        <v>ANNUAL HARVEST</v>
      </c>
      <c r="B33" s="32"/>
      <c r="C33" s="32"/>
      <c r="D33" s="38">
        <f>WeeklyIncome[[#Totals],[ANNUAL HARVEST]]</f>
        <v>0</v>
      </c>
    </row>
    <row r="34" spans="1:4" x14ac:dyDescent="0.35">
      <c r="A34" s="62"/>
      <c r="B34" s="32"/>
      <c r="C34" s="32"/>
      <c r="D34" s="39">
        <f>SUM(D6:D33)</f>
        <v>26051.53</v>
      </c>
    </row>
    <row r="35" spans="1:4" x14ac:dyDescent="0.35">
      <c r="A35" s="35" t="s">
        <v>67</v>
      </c>
      <c r="B35" s="32"/>
      <c r="C35" s="32"/>
      <c r="D35" s="36"/>
    </row>
    <row r="36" spans="1:4" x14ac:dyDescent="0.35">
      <c r="A36" s="35" t="s">
        <v>22</v>
      </c>
      <c r="B36" s="32"/>
      <c r="C36" s="32">
        <f>SUM(B37:B44)</f>
        <v>2012</v>
      </c>
      <c r="D36" s="36"/>
    </row>
    <row r="37" spans="1:4" x14ac:dyDescent="0.35">
      <c r="A37" s="63" t="s">
        <v>0</v>
      </c>
      <c r="B37" s="32">
        <f>D16</f>
        <v>1589</v>
      </c>
      <c r="C37" s="32"/>
      <c r="D37" s="36"/>
    </row>
    <row r="38" spans="1:4" x14ac:dyDescent="0.35">
      <c r="A38" s="63" t="s">
        <v>1</v>
      </c>
      <c r="B38" s="32">
        <f>PRODUCT(D17*0.4)</f>
        <v>271.2</v>
      </c>
      <c r="C38" s="32"/>
      <c r="D38" s="36"/>
    </row>
    <row r="39" spans="1:4" x14ac:dyDescent="0.35">
      <c r="A39" s="63" t="s">
        <v>2</v>
      </c>
      <c r="B39" s="32">
        <f t="shared" ref="B39:B40" si="0">PRODUCT(D18*0.4)</f>
        <v>62</v>
      </c>
      <c r="C39" s="32"/>
      <c r="D39" s="36"/>
    </row>
    <row r="40" spans="1:4" x14ac:dyDescent="0.35">
      <c r="A40" s="63" t="s">
        <v>3</v>
      </c>
      <c r="B40" s="32">
        <f t="shared" si="0"/>
        <v>89.800000000000011</v>
      </c>
      <c r="C40" s="32"/>
      <c r="D40" s="36"/>
    </row>
    <row r="41" spans="1:4" x14ac:dyDescent="0.35">
      <c r="A41" s="62" t="s">
        <v>68</v>
      </c>
      <c r="B41" s="32"/>
      <c r="C41" s="32"/>
      <c r="D41" s="36"/>
    </row>
    <row r="42" spans="1:4" x14ac:dyDescent="0.35">
      <c r="A42" s="62" t="s">
        <v>6</v>
      </c>
      <c r="B42" s="32">
        <f>D33*0.1</f>
        <v>0</v>
      </c>
      <c r="C42" s="32"/>
      <c r="D42" s="36"/>
    </row>
    <row r="43" spans="1:4" x14ac:dyDescent="0.35">
      <c r="A43" s="62" t="str">
        <f>WeeklyExpenditure[[#Headers],[CONFERENCE FUND]]</f>
        <v>CONFERENCE FUND</v>
      </c>
      <c r="B43" s="33">
        <f>WeeklyExpenditure[[#Totals],[CONFERENCE FUND]]</f>
        <v>0</v>
      </c>
      <c r="C43" s="32"/>
      <c r="D43" s="36"/>
    </row>
    <row r="44" spans="1:4" x14ac:dyDescent="0.35">
      <c r="A44" s="63" t="s">
        <v>28</v>
      </c>
      <c r="B44" s="32">
        <f>D24/3</f>
        <v>0</v>
      </c>
      <c r="C44" s="32"/>
      <c r="D44" s="36"/>
    </row>
    <row r="45" spans="1:4" x14ac:dyDescent="0.35">
      <c r="A45" s="35" t="s">
        <v>23</v>
      </c>
      <c r="B45" s="32"/>
      <c r="C45" s="32">
        <f>SUM(B46:B51)</f>
        <v>105.75</v>
      </c>
      <c r="D45" s="36"/>
    </row>
    <row r="46" spans="1:4" x14ac:dyDescent="0.35">
      <c r="A46" s="63" t="s">
        <v>1</v>
      </c>
      <c r="B46" s="32">
        <f>PRODUCT(D17*0.1)</f>
        <v>67.8</v>
      </c>
      <c r="C46" s="32"/>
      <c r="D46" s="36"/>
    </row>
    <row r="47" spans="1:4" x14ac:dyDescent="0.35">
      <c r="A47" s="63" t="s">
        <v>2</v>
      </c>
      <c r="B47" s="32">
        <f>PRODUCT(D18*0.1)</f>
        <v>15.5</v>
      </c>
      <c r="C47" s="32"/>
      <c r="D47" s="36"/>
    </row>
    <row r="48" spans="1:4" x14ac:dyDescent="0.35">
      <c r="A48" s="63" t="s">
        <v>3</v>
      </c>
      <c r="B48" s="32">
        <f>PRODUCT(D19*0.1)</f>
        <v>22.450000000000003</v>
      </c>
      <c r="C48" s="32"/>
      <c r="D48" s="36"/>
    </row>
    <row r="49" spans="1:4" x14ac:dyDescent="0.35">
      <c r="A49" s="63" t="s">
        <v>6</v>
      </c>
      <c r="B49" s="32">
        <f>D33*0.1</f>
        <v>0</v>
      </c>
      <c r="C49" s="32"/>
      <c r="D49" s="36"/>
    </row>
    <row r="50" spans="1:4" x14ac:dyDescent="0.35">
      <c r="A50" s="62" t="str">
        <f>WeeklyExpenditure[[#Headers],[DISTRICT FUND]]</f>
        <v>DISTRICT FUND</v>
      </c>
      <c r="B50" s="33">
        <f>WeeklyExpenditure[[#Totals],[DISTRICT FUND]]</f>
        <v>0</v>
      </c>
      <c r="C50" s="32"/>
      <c r="D50" s="36"/>
    </row>
    <row r="51" spans="1:4" x14ac:dyDescent="0.35">
      <c r="A51" s="63" t="s">
        <v>28</v>
      </c>
      <c r="B51" s="32">
        <f>PRODUCT(D24/3)</f>
        <v>0</v>
      </c>
      <c r="C51" s="32"/>
      <c r="D51" s="36"/>
    </row>
    <row r="52" spans="1:4" x14ac:dyDescent="0.35">
      <c r="A52" s="62" t="str">
        <f>WeeklyExpenditure[[#Headers],[FOOD, WATER AND DRINKS]]</f>
        <v>FOOD, WATER AND DRINKS</v>
      </c>
      <c r="B52" s="32"/>
      <c r="C52" s="33">
        <f>WeeklyExpenditure[[#Totals],[FOOD, WATER AND DRINKS]]</f>
        <v>353</v>
      </c>
      <c r="D52" s="36"/>
    </row>
    <row r="53" spans="1:4" x14ac:dyDescent="0.35">
      <c r="A53" s="62" t="str">
        <f>WeeklyExpenditure[[#Headers],[COVID 19  ITEMS]]</f>
        <v>COVID 19  ITEMS</v>
      </c>
      <c r="B53" s="32"/>
      <c r="C53" s="33">
        <f>WeeklyExpenditure[[#Totals],[COVID 19  ITEMS]]</f>
        <v>110</v>
      </c>
      <c r="D53" s="36"/>
    </row>
    <row r="54" spans="1:4" x14ac:dyDescent="0.35">
      <c r="A54" s="62" t="str">
        <f>WeeklyExpenditure[[#Headers],[TRANSPORTATION]]</f>
        <v>TRANSPORTATION</v>
      </c>
      <c r="B54" s="32"/>
      <c r="C54" s="33">
        <f>WeeklyExpenditure[[#Totals],[TRANSPORTATION]]</f>
        <v>20</v>
      </c>
      <c r="D54" s="36"/>
    </row>
    <row r="55" spans="1:4" x14ac:dyDescent="0.35">
      <c r="A55" s="62" t="str">
        <f>WeeklyExpenditure[[#Headers],[DONATION]]</f>
        <v>DONATION</v>
      </c>
      <c r="B55" s="32"/>
      <c r="C55" s="33">
        <f>WeeklyExpenditure[[#Totals],[DONATION]]</f>
        <v>150</v>
      </c>
      <c r="D55" s="36"/>
    </row>
    <row r="56" spans="1:4" x14ac:dyDescent="0.35">
      <c r="A56" s="62" t="str">
        <f>WeeklyExpenditure[[#Headers],[PRINTING &amp; BOOKS]]</f>
        <v>PRINTING &amp; BOOKS</v>
      </c>
      <c r="B56" s="32"/>
      <c r="C56" s="33">
        <f>WeeklyExpenditure[[#Totals],[PRINTING &amp; BOOKS]]</f>
        <v>150</v>
      </c>
      <c r="D56" s="36"/>
    </row>
    <row r="57" spans="1:4" x14ac:dyDescent="0.35">
      <c r="A57" s="62" t="str">
        <f>WeeklyExpenditure[[#Headers],[NURSERY]]</f>
        <v>NURSERY</v>
      </c>
      <c r="B57" s="32"/>
      <c r="C57" s="33">
        <f>WeeklyExpenditure[[#Totals],[NURSERY]]</f>
        <v>0</v>
      </c>
      <c r="D57" s="36"/>
    </row>
    <row r="58" spans="1:4" x14ac:dyDescent="0.35">
      <c r="A58" s="62" t="str">
        <f>WeeklyExpenditure[[#Headers],[SABBATH SCHOOL]]</f>
        <v>SABBATH SCHOOL</v>
      </c>
      <c r="B58" s="32"/>
      <c r="C58" s="33">
        <f>WeeklyExpenditure[[#Totals],[SABBATH SCHOOL]]</f>
        <v>0</v>
      </c>
      <c r="D58" s="36"/>
    </row>
    <row r="59" spans="1:4" x14ac:dyDescent="0.35">
      <c r="A59" s="62" t="str">
        <f>WeeklyExpenditure[[#Headers],[RENOVATION TEACHERS BUNGALOW]]</f>
        <v>RENOVATION TEACHERS BUNGALOW</v>
      </c>
      <c r="B59" s="32"/>
      <c r="C59" s="33">
        <f>WeeklyExpenditure[[#Totals],[RENOVATION TEACHERS BUNGALOW]]</f>
        <v>0</v>
      </c>
      <c r="D59" s="36"/>
    </row>
    <row r="60" spans="1:4" x14ac:dyDescent="0.35">
      <c r="A60" s="62" t="str">
        <f>WeeklyExpenditure[[#Headers],[MECHANISED WATER PROJECT]]</f>
        <v>MECHANISED WATER PROJECT</v>
      </c>
      <c r="B60" s="32"/>
      <c r="C60" s="33">
        <f>WeeklyExpenditure[[#Totals],[MECHANISED WATER PROJECT]]</f>
        <v>0</v>
      </c>
      <c r="D60" s="36"/>
    </row>
    <row r="61" spans="1:4" x14ac:dyDescent="0.35">
      <c r="A61" s="62" t="str">
        <f>WeeklyExpenditure[[#Headers],[WAGES (NURSERY)]]</f>
        <v>WAGES (NURSERY)</v>
      </c>
      <c r="B61" s="32"/>
      <c r="C61" s="33">
        <f>WeeklyExpenditure[[#Totals],[WAGES (NURSERY)]]</f>
        <v>0</v>
      </c>
      <c r="D61" s="36"/>
    </row>
    <row r="62" spans="1:4" x14ac:dyDescent="0.35">
      <c r="A62" s="62" t="str">
        <f>WeeklyExpenditure[[#Headers],[BEAUTIFICATION OF CHURCH &amp; SCHOOL COMPOUND]]</f>
        <v>BEAUTIFICATION OF CHURCH &amp; SCHOOL COMPOUND</v>
      </c>
      <c r="B62" s="32"/>
      <c r="C62" s="33">
        <f>WeeklyExpenditure[[#Totals],[BEAUTIFICATION OF CHURCH &amp; SCHOOL COMPOUND]]</f>
        <v>0</v>
      </c>
      <c r="D62" s="36"/>
    </row>
    <row r="63" spans="1:4" x14ac:dyDescent="0.35">
      <c r="A63" s="62" t="str">
        <f>WeeklyExpenditure[[#Headers],[AYS (T&amp;T, Others)]]</f>
        <v>AYS (T&amp;T, Others)</v>
      </c>
      <c r="B63" s="32"/>
      <c r="C63" s="33">
        <f>WeeklyExpenditure[[#Totals],[AYS (T&amp;T, Others)]]</f>
        <v>0</v>
      </c>
      <c r="D63" s="36"/>
    </row>
    <row r="64" spans="1:4" x14ac:dyDescent="0.35">
      <c r="A64" s="62" t="str">
        <f>WeeklyExpenditure[[#Headers],[CHOIR (T&amp;T, Others]]</f>
        <v>CHOIR (T&amp;T, Others</v>
      </c>
      <c r="B64" s="32"/>
      <c r="C64" s="33">
        <f>WeeklyExpenditure[[#Totals],[CHOIR (T&amp;T, Others]]</f>
        <v>0</v>
      </c>
      <c r="D64" s="36"/>
    </row>
    <row r="65" spans="1:13" x14ac:dyDescent="0.35">
      <c r="A65" s="62" t="str">
        <f>WeeklyExpenditure[[#Headers],[SINGING BAND (T&amp;T, Others)]]</f>
        <v>SINGING BAND (T&amp;T, Others)</v>
      </c>
      <c r="B65" s="32"/>
      <c r="C65" s="33">
        <f>WeeklyExpenditure[[#Totals],[SINGING BAND (T&amp;T, Others)]]</f>
        <v>0</v>
      </c>
      <c r="D65" s="36"/>
    </row>
    <row r="66" spans="1:13" x14ac:dyDescent="0.35">
      <c r="A66" s="62" t="str">
        <f>WeeklyExpenditure[[#Headers],[AMM (T&amp;T, Others)]]</f>
        <v>AMM (T&amp;T, Others)</v>
      </c>
      <c r="B66" s="32"/>
      <c r="C66" s="33">
        <f>WeeklyExpenditure[[#Totals],[AMM (T&amp;T, Others)]]</f>
        <v>0</v>
      </c>
      <c r="D66" s="36"/>
    </row>
    <row r="67" spans="1:13" x14ac:dyDescent="0.35">
      <c r="A67" s="62" t="str">
        <f>WeeklyExpenditure[[#Headers],[WOMEN MINSTRY (T&amp;T, Others]]</f>
        <v>WOMEN MINSTRY (T&amp;T, Others</v>
      </c>
      <c r="B67" s="32"/>
      <c r="C67" s="33">
        <f>WeeklyExpenditure[[#Totals],[WOMEN MINSTRY (T&amp;T, Others]]</f>
        <v>110</v>
      </c>
      <c r="D67" s="36"/>
    </row>
    <row r="68" spans="1:13" x14ac:dyDescent="0.35">
      <c r="A68" s="35" t="s">
        <v>69</v>
      </c>
      <c r="B68" s="31"/>
      <c r="C68" s="32">
        <f>SUM(B69:B70)</f>
        <v>1418</v>
      </c>
      <c r="D68" s="36"/>
    </row>
    <row r="69" spans="1:13" x14ac:dyDescent="0.35">
      <c r="A69" s="62" t="str">
        <f>WeeklyExpenditure[[#Headers],[WELFARE FUNERAL DONATIONS]]</f>
        <v>WELFARE FUNERAL DONATIONS</v>
      </c>
      <c r="B69" s="33">
        <f>WeeklyExpenditure[[#Totals],[WELFARE FUNERAL DONATIONS]]</f>
        <v>1368</v>
      </c>
      <c r="C69" s="32"/>
      <c r="D69" s="36"/>
    </row>
    <row r="70" spans="1:13" x14ac:dyDescent="0.35">
      <c r="A70" s="62" t="str">
        <f>WeeklyExpenditure[[#Headers],[WELFARE OTHER DONATIONS (MARRIAGE, ETC)]]</f>
        <v>WELFARE OTHER DONATIONS (MARRIAGE, ETC)</v>
      </c>
      <c r="B70" s="33">
        <f>WeeklyExpenditure[[#Totals],[WELFARE OTHER DONATIONS (MARRIAGE, ETC)]]</f>
        <v>50</v>
      </c>
      <c r="C70" s="32"/>
      <c r="D70" s="36"/>
      <c r="I70"/>
      <c r="J70"/>
      <c r="K70"/>
      <c r="L70"/>
      <c r="M70" s="26"/>
    </row>
    <row r="71" spans="1:13" x14ac:dyDescent="0.35">
      <c r="A71" s="62" t="str">
        <f>WeeklyExpenditure[[#Headers],[PROJECTOR]]</f>
        <v>PROJECTOR</v>
      </c>
      <c r="B71" s="137"/>
      <c r="C71" s="33">
        <f>WeeklyExpenditure[[#Totals],[PROJECTOR]]</f>
        <v>0</v>
      </c>
      <c r="D71" s="138"/>
      <c r="I71"/>
      <c r="J71"/>
      <c r="K71"/>
      <c r="L71"/>
      <c r="M71" s="26"/>
    </row>
    <row r="72" spans="1:13" x14ac:dyDescent="0.35">
      <c r="A72" s="62" t="str">
        <f>WeeklyExpenditure[[#Headers],[MAITENANCE / REPAIRS]]</f>
        <v>MAITENANCE / REPAIRS</v>
      </c>
      <c r="B72" s="32"/>
      <c r="C72" s="33">
        <f>WeeklyExpenditure[[#Totals],[MAITENANCE / REPAIRS]]</f>
        <v>0</v>
      </c>
      <c r="D72" s="36"/>
      <c r="I72"/>
      <c r="J72"/>
      <c r="K72"/>
      <c r="L72"/>
    </row>
    <row r="73" spans="1:13" x14ac:dyDescent="0.35">
      <c r="A73" s="62" t="str">
        <f>WeeklyExpenditure[[#Headers],[LORD''S SUPPER]]</f>
        <v>LORD'S SUPPER</v>
      </c>
      <c r="B73" s="32"/>
      <c r="C73" s="33">
        <f>WeeklyExpenditure[[#Totals],[LORD''S SUPPER]]</f>
        <v>0</v>
      </c>
      <c r="D73" s="36"/>
      <c r="I73"/>
      <c r="J73"/>
      <c r="K73"/>
      <c r="L73"/>
    </row>
    <row r="74" spans="1:13" x14ac:dyDescent="0.35">
      <c r="A74" s="62" t="str">
        <f>WeeklyExpenditure[[#Headers],[LOAN (REPAYMENT]]</f>
        <v>LOAN (REPAYMENT</v>
      </c>
      <c r="B74" s="32"/>
      <c r="C74" s="33">
        <f>WeeklyExpenditure[[#Totals],[LOAN (REPAYMENT]]</f>
        <v>0</v>
      </c>
      <c r="D74" s="36"/>
      <c r="I74"/>
      <c r="J74"/>
      <c r="K74"/>
      <c r="L74"/>
    </row>
    <row r="75" spans="1:13" x14ac:dyDescent="0.35">
      <c r="A75" s="62" t="str">
        <f>WeeklyExpenditure[[#Headers],[WASHROOM PROJECT]]</f>
        <v>WASHROOM PROJECT</v>
      </c>
      <c r="B75" s="32"/>
      <c r="C75" s="33">
        <f>WeeklyExpenditure[[#Totals],[WASHROOM PROJECT]]</f>
        <v>0</v>
      </c>
      <c r="D75" s="36"/>
      <c r="I75"/>
      <c r="J75"/>
      <c r="K75"/>
      <c r="L75"/>
    </row>
    <row r="76" spans="1:13" x14ac:dyDescent="0.35">
      <c r="A76" s="62" t="str">
        <f>WeeklyExpenditure[[#Headers],[HARVEST EXPENDITURE]]</f>
        <v>HARVEST EXPENDITURE</v>
      </c>
      <c r="B76" s="32"/>
      <c r="C76" s="33">
        <f>WeeklyExpenditure[[#Totals],[HARVEST EXPENDITURE]]</f>
        <v>0</v>
      </c>
      <c r="D76" s="36"/>
      <c r="I76"/>
      <c r="J76"/>
      <c r="K76"/>
      <c r="L76"/>
    </row>
    <row r="77" spans="1:13" x14ac:dyDescent="0.35">
      <c r="A77" s="62" t="str">
        <f>WeeklyExpenditure[[#Headers],[ELECTRICITY]]</f>
        <v>ELECTRICITY</v>
      </c>
      <c r="B77" s="32"/>
      <c r="C77" s="33">
        <f>WeeklyExpenditure[[#Totals],[ELECTRICITY]]</f>
        <v>0</v>
      </c>
      <c r="D77" s="36"/>
      <c r="I77"/>
      <c r="J77"/>
      <c r="K77"/>
      <c r="L77"/>
    </row>
    <row r="78" spans="1:13" x14ac:dyDescent="0.35">
      <c r="A78" s="62" t="s">
        <v>83</v>
      </c>
      <c r="B78" s="32"/>
      <c r="C78" s="33">
        <v>0</v>
      </c>
      <c r="D78" s="36"/>
    </row>
    <row r="79" spans="1:13" x14ac:dyDescent="0.35">
      <c r="A79" s="62" t="str">
        <f>WeeklyExpenditure[[#Headers],[POST  OFFICE]]</f>
        <v>POST  OFFICE</v>
      </c>
      <c r="B79" s="32"/>
      <c r="C79" s="33">
        <f>WeeklyExpenditure[[#Totals],[POST  OFFICE]]</f>
        <v>0</v>
      </c>
      <c r="D79" s="36"/>
    </row>
    <row r="80" spans="1:13" x14ac:dyDescent="0.35">
      <c r="A80" s="62" t="str">
        <f>WeeklyExpenditure[[#Headers],[HOME COMING]]</f>
        <v>HOME COMING</v>
      </c>
      <c r="B80" s="32"/>
      <c r="C80" s="33">
        <f>WeeklyExpenditure[[#Totals],[HOME COMING]]</f>
        <v>0</v>
      </c>
      <c r="D80" s="36"/>
    </row>
    <row r="81" spans="1:10" x14ac:dyDescent="0.35">
      <c r="A81" s="62" t="str">
        <f>WeeklyExpenditure[[#Headers],[TRADITIONAL DAY]]</f>
        <v>TRADITIONAL DAY</v>
      </c>
      <c r="B81" s="32"/>
      <c r="C81" s="33">
        <f>WeeklyExpenditure[[#Totals],[TRADITIONAL DAY]]</f>
        <v>0</v>
      </c>
      <c r="D81" s="36"/>
    </row>
    <row r="82" spans="1:10" x14ac:dyDescent="0.35">
      <c r="A82" s="62" t="str">
        <f>WeeklyExpenditure[[#Headers],[CARE FOR THE AGED &amp; SICK]]</f>
        <v>CARE FOR THE AGED &amp; SICK</v>
      </c>
      <c r="B82" s="32"/>
      <c r="C82" s="33">
        <f>WeeklyExpenditure[[#Totals],[CARE FOR THE AGED &amp; SICK]]</f>
        <v>0</v>
      </c>
      <c r="D82" s="36"/>
      <c r="J82" s="127"/>
    </row>
    <row r="83" spans="1:10" ht="18" customHeight="1" x14ac:dyDescent="0.35">
      <c r="A83" s="64" t="str">
        <f>WeeklyExpenditure[[#Headers],[MISCELLANEOUS (Soap, Washing Powder, Others)]]</f>
        <v>MISCELLANEOUS (Soap, Washing Powder, Others)</v>
      </c>
      <c r="B83" s="32"/>
      <c r="C83" s="33">
        <f>WeeklyExpenditure[[#Totals],[MISCELLANEOUS (Soap, Washing Powder, Others)]]</f>
        <v>105</v>
      </c>
      <c r="D83" s="36"/>
      <c r="J83" s="127"/>
    </row>
    <row r="84" spans="1:10" ht="25.5" customHeight="1" x14ac:dyDescent="0.5">
      <c r="A84" s="62"/>
      <c r="B84" s="32"/>
      <c r="C84" s="32"/>
      <c r="D84" s="40">
        <f>SUM(C36,C45,C52:C68,C71:C84)</f>
        <v>4533.75</v>
      </c>
    </row>
    <row r="85" spans="1:10" ht="23.25" x14ac:dyDescent="0.5">
      <c r="A85" s="44" t="str">
        <f>IF(D34&gt;D84,"SURPLUS",IF(D34=D84,"BREAKEVEN",IF(D34&lt;D84,"DEFICIT","")))</f>
        <v>SURPLUS</v>
      </c>
      <c r="B85" s="45"/>
      <c r="C85" s="45"/>
      <c r="D85" s="46">
        <f>SUM(D34-D84)</f>
        <v>21517.78</v>
      </c>
    </row>
    <row r="86" spans="1:10" x14ac:dyDescent="0.35">
      <c r="A86" s="282" t="s">
        <v>70</v>
      </c>
      <c r="B86" s="282"/>
      <c r="C86" s="282"/>
      <c r="D86" s="282"/>
    </row>
    <row r="87" spans="1:10" x14ac:dyDescent="0.35">
      <c r="A87" s="282"/>
      <c r="B87" s="282"/>
      <c r="C87" s="282"/>
      <c r="D87" s="282"/>
    </row>
    <row r="88" spans="1:10" s="25" customFormat="1" ht="23.25" customHeight="1" x14ac:dyDescent="0.45">
      <c r="A88" s="49" t="s">
        <v>71</v>
      </c>
      <c r="B88" s="50"/>
      <c r="C88" s="51"/>
      <c r="D88" s="52">
        <v>0</v>
      </c>
    </row>
    <row r="89" spans="1:10" ht="30" customHeight="1" x14ac:dyDescent="0.45">
      <c r="A89" s="49" t="s">
        <v>72</v>
      </c>
      <c r="B89" s="53"/>
      <c r="C89" s="53"/>
      <c r="D89" s="54">
        <f>SUM(C90:C91)</f>
        <v>4399.32</v>
      </c>
    </row>
    <row r="90" spans="1:10" ht="28.5" x14ac:dyDescent="0.45">
      <c r="A90" s="53">
        <v>1</v>
      </c>
      <c r="B90" s="53" t="s">
        <v>73</v>
      </c>
      <c r="C90" s="54">
        <v>2521.6</v>
      </c>
      <c r="D90" s="54"/>
    </row>
    <row r="91" spans="1:10" ht="33" x14ac:dyDescent="0.75">
      <c r="A91" s="53">
        <v>2</v>
      </c>
      <c r="B91" s="53" t="s">
        <v>74</v>
      </c>
      <c r="C91" s="55">
        <v>1877.72</v>
      </c>
      <c r="D91" s="54"/>
    </row>
    <row r="92" spans="1:10" ht="30.75" x14ac:dyDescent="0.35">
      <c r="A92" s="56" t="s">
        <v>75</v>
      </c>
      <c r="B92" s="57"/>
      <c r="C92" s="58"/>
      <c r="D92" s="59">
        <f>SUM(HerritageFunds[AMOUNT])</f>
        <v>4800</v>
      </c>
    </row>
    <row r="93" spans="1:10" ht="33" x14ac:dyDescent="0.75">
      <c r="A93" s="60"/>
      <c r="B93" s="60"/>
      <c r="C93" s="61"/>
      <c r="D93" s="61">
        <f>SUM(D88:D92)</f>
        <v>9199.32</v>
      </c>
    </row>
    <row r="94" spans="1:10" x14ac:dyDescent="0.35">
      <c r="A94" s="28" t="s">
        <v>76</v>
      </c>
      <c r="B94" s="28"/>
      <c r="C94" s="28" t="s">
        <v>77</v>
      </c>
      <c r="D94" s="28"/>
    </row>
    <row r="95" spans="1:10" x14ac:dyDescent="0.35">
      <c r="A95" s="28" t="s">
        <v>78</v>
      </c>
      <c r="B95" s="28"/>
      <c r="C95" s="28" t="s">
        <v>79</v>
      </c>
      <c r="D95" s="28"/>
    </row>
    <row r="96" spans="1:10" x14ac:dyDescent="0.35">
      <c r="A96" s="28"/>
      <c r="B96" s="28"/>
      <c r="C96" s="28"/>
      <c r="D96" s="28"/>
    </row>
    <row r="97" spans="1:4" x14ac:dyDescent="0.35">
      <c r="A97" s="28"/>
      <c r="B97" s="28"/>
      <c r="C97" s="28"/>
      <c r="D97" s="28"/>
    </row>
    <row r="98" spans="1:4" x14ac:dyDescent="0.35">
      <c r="A98" s="28"/>
      <c r="B98" s="28"/>
      <c r="C98" s="28"/>
      <c r="D98" s="28"/>
    </row>
  </sheetData>
  <sheetProtection insertRows="0" autoFilter="0"/>
  <mergeCells count="4">
    <mergeCell ref="A1:D1"/>
    <mergeCell ref="A2:D2"/>
    <mergeCell ref="A3:D3"/>
    <mergeCell ref="A86:D87"/>
  </mergeCells>
  <conditionalFormatting sqref="A85">
    <cfRule type="expression" dxfId="31" priority="1">
      <formula>$D$85&lt;0</formula>
    </cfRule>
    <cfRule type="expression" dxfId="30" priority="2">
      <formula>$D$85&gt;0</formula>
    </cfRule>
  </conditionalFormatting>
  <pageMargins left="0.43" right="0" top="0.14000000000000001" bottom="0" header="0.02" footer="0.44"/>
  <pageSetup paperSize="9" scale="67" fitToHeight="0"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D97"/>
  <sheetViews>
    <sheetView topLeftCell="A21" zoomScale="85" zoomScaleNormal="85" workbookViewId="0">
      <selection activeCell="D29" sqref="D29"/>
    </sheetView>
  </sheetViews>
  <sheetFormatPr defaultRowHeight="15" x14ac:dyDescent="0.25"/>
  <cols>
    <col min="1" max="1" width="68.42578125" bestFit="1" customWidth="1"/>
    <col min="2" max="2" width="20.28515625" bestFit="1" customWidth="1"/>
    <col min="3" max="3" width="24.28515625" customWidth="1"/>
    <col min="4" max="4" width="21.5703125" bestFit="1" customWidth="1"/>
    <col min="6" max="6" width="12.42578125" bestFit="1" customWidth="1"/>
  </cols>
  <sheetData>
    <row r="1" spans="1:4" ht="21" x14ac:dyDescent="0.35">
      <c r="A1" s="283" t="s">
        <v>54</v>
      </c>
      <c r="B1" s="283"/>
      <c r="C1" s="283"/>
      <c r="D1" s="283"/>
    </row>
    <row r="2" spans="1:4" ht="21" x14ac:dyDescent="0.35">
      <c r="A2" s="283" t="s">
        <v>55</v>
      </c>
      <c r="B2" s="283"/>
      <c r="C2" s="283"/>
      <c r="D2" s="283"/>
    </row>
    <row r="3" spans="1:4" ht="15.75" x14ac:dyDescent="0.25">
      <c r="A3" s="284" t="s">
        <v>128</v>
      </c>
      <c r="B3" s="284"/>
      <c r="C3" s="284"/>
      <c r="D3" s="284"/>
    </row>
    <row r="4" spans="1:4" ht="15.75" x14ac:dyDescent="0.25">
      <c r="A4" s="96" t="s">
        <v>56</v>
      </c>
      <c r="B4" s="97" t="s">
        <v>57</v>
      </c>
      <c r="C4" s="97" t="s">
        <v>96</v>
      </c>
      <c r="D4" s="97" t="s">
        <v>97</v>
      </c>
    </row>
    <row r="5" spans="1:4" ht="15.75" x14ac:dyDescent="0.25">
      <c r="A5" s="98" t="s">
        <v>58</v>
      </c>
      <c r="B5" s="96"/>
      <c r="C5" s="96"/>
      <c r="D5" s="96"/>
    </row>
    <row r="6" spans="1:4" ht="15.75" x14ac:dyDescent="0.25">
      <c r="A6" s="96" t="s">
        <v>59</v>
      </c>
      <c r="B6" s="99"/>
      <c r="C6" s="99"/>
      <c r="D6" s="99">
        <f>SUM(C7:C10)</f>
        <v>15226.93</v>
      </c>
    </row>
    <row r="7" spans="1:4" ht="15.75" x14ac:dyDescent="0.25">
      <c r="A7" s="96" t="s">
        <v>60</v>
      </c>
      <c r="B7" s="99"/>
      <c r="C7" s="99">
        <v>6401.93</v>
      </c>
      <c r="D7" s="99"/>
    </row>
    <row r="8" spans="1:4" ht="15.75" x14ac:dyDescent="0.25">
      <c r="A8" s="96" t="s">
        <v>61</v>
      </c>
      <c r="B8" s="99"/>
      <c r="C8" s="99">
        <v>3425</v>
      </c>
      <c r="D8" s="99"/>
    </row>
    <row r="9" spans="1:4" ht="15.75" x14ac:dyDescent="0.25">
      <c r="A9" s="96" t="s">
        <v>62</v>
      </c>
      <c r="B9" s="99"/>
      <c r="C9" s="99">
        <v>5400</v>
      </c>
      <c r="D9" s="99"/>
    </row>
    <row r="10" spans="1:4" ht="15.75" hidden="1" x14ac:dyDescent="0.25">
      <c r="A10" s="96" t="s">
        <v>63</v>
      </c>
      <c r="B10" s="99"/>
      <c r="C10" s="99">
        <v>0</v>
      </c>
      <c r="D10" s="99"/>
    </row>
    <row r="11" spans="1:4" ht="15.75" hidden="1" x14ac:dyDescent="0.25">
      <c r="A11" s="96" t="s">
        <v>120</v>
      </c>
      <c r="B11" s="99"/>
      <c r="C11" s="99"/>
      <c r="D11" s="99">
        <v>0</v>
      </c>
    </row>
    <row r="12" spans="1:4" ht="15.75" hidden="1" x14ac:dyDescent="0.25">
      <c r="A12" s="96" t="s">
        <v>64</v>
      </c>
      <c r="B12" s="99"/>
      <c r="C12" s="99"/>
      <c r="D12" s="99">
        <v>0</v>
      </c>
    </row>
    <row r="13" spans="1:4" ht="15.75" x14ac:dyDescent="0.25">
      <c r="A13" s="96" t="s">
        <v>65</v>
      </c>
      <c r="B13" s="99"/>
      <c r="C13" s="99"/>
      <c r="D13" s="99">
        <v>1.34</v>
      </c>
    </row>
    <row r="14" spans="1:4" ht="15.75" x14ac:dyDescent="0.25">
      <c r="A14" s="96" t="s">
        <v>66</v>
      </c>
      <c r="B14" s="99"/>
      <c r="C14" s="99"/>
      <c r="D14" s="100">
        <f>WeeklyIncome[[#Totals],[RENT]]</f>
        <v>0</v>
      </c>
    </row>
    <row r="15" spans="1:4" ht="15.75" x14ac:dyDescent="0.25">
      <c r="A15" s="96" t="s">
        <v>62</v>
      </c>
      <c r="B15" s="99"/>
      <c r="C15" s="99"/>
      <c r="D15" s="99">
        <f>HerritageFunds[[#Totals],[AMOUNT]]</f>
        <v>4800</v>
      </c>
    </row>
    <row r="16" spans="1:4" ht="15.75" x14ac:dyDescent="0.25">
      <c r="A16" s="96" t="str">
        <f>WeeklyIncome[[#Headers],[TITHE]]</f>
        <v>TITHE</v>
      </c>
      <c r="B16" s="99"/>
      <c r="C16" s="99"/>
      <c r="D16" s="100">
        <f>WeeklyIncome[[#Totals],[TITHE]]</f>
        <v>1589</v>
      </c>
    </row>
    <row r="17" spans="1:4" ht="15.75" x14ac:dyDescent="0.25">
      <c r="A17" s="96" t="str">
        <f>WeeklyIncome[[#Headers],[SYSTEMATIC OFFERING]]</f>
        <v>SYSTEMATIC OFFERING</v>
      </c>
      <c r="B17" s="99"/>
      <c r="C17" s="99"/>
      <c r="D17" s="100">
        <f>WeeklyIncome[[#Totals],[SYSTEMATIC OFFERING]]</f>
        <v>678</v>
      </c>
    </row>
    <row r="18" spans="1:4" ht="15.75" x14ac:dyDescent="0.25">
      <c r="A18" s="96" t="str">
        <f>WeeklyIncome[[#Headers],[THANKS OFFERING]]</f>
        <v>THANKS OFFERING</v>
      </c>
      <c r="B18" s="99"/>
      <c r="C18" s="99"/>
      <c r="D18" s="100">
        <f>WeeklyIncome[[#Totals],[THANKS OFFERING]]</f>
        <v>155</v>
      </c>
    </row>
    <row r="19" spans="1:4" ht="15.75" x14ac:dyDescent="0.25">
      <c r="A19" s="96" t="str">
        <f>WeeklyIncome[[#Headers],[LOOSE OFFERING]]</f>
        <v>LOOSE OFFERING</v>
      </c>
      <c r="B19" s="99"/>
      <c r="C19" s="99"/>
      <c r="D19" s="100">
        <f>WeeklyIncome[[#Totals],[LOOSE OFFERING]]</f>
        <v>224.5</v>
      </c>
    </row>
    <row r="20" spans="1:4" ht="15.75" x14ac:dyDescent="0.25">
      <c r="A20" s="96" t="str">
        <f>WeeklyIncome[[#Headers],[EXPENSES OFFERING]]</f>
        <v>EXPENSES OFFERING</v>
      </c>
      <c r="B20" s="99"/>
      <c r="C20" s="99"/>
      <c r="D20" s="100">
        <f>WeeklyIncome[[#Totals],[EXPENSES OFFERING]]</f>
        <v>574.1</v>
      </c>
    </row>
    <row r="21" spans="1:4" ht="15.75" x14ac:dyDescent="0.25">
      <c r="A21" s="96" t="str">
        <f>WeeklyIncome[[#Headers],[WELFARE DUES]]</f>
        <v>WELFARE DUES</v>
      </c>
      <c r="B21" s="99"/>
      <c r="C21" s="99"/>
      <c r="D21" s="100">
        <f>WeeklyIncome[[#Totals],[WELFARE DUES]]</f>
        <v>532</v>
      </c>
    </row>
    <row r="22" spans="1:4" ht="15.75" hidden="1" x14ac:dyDescent="0.25">
      <c r="A22" s="96" t="str">
        <f>WeeklyIncome[[#Headers],[HARVEST]]</f>
        <v>HARVEST</v>
      </c>
      <c r="B22" s="99"/>
      <c r="C22" s="99"/>
      <c r="D22" s="100">
        <f>WeeklyIncome[[#Totals],[HARVEST]]</f>
        <v>0</v>
      </c>
    </row>
    <row r="23" spans="1:4" ht="15.75" hidden="1" x14ac:dyDescent="0.25">
      <c r="A23" s="96" t="str">
        <f>WeeklyIncome[[#Headers],[SELLING OF TREES]]</f>
        <v>SELLING OF TREES</v>
      </c>
      <c r="B23" s="99"/>
      <c r="C23" s="99"/>
      <c r="D23" s="100">
        <f>WeeklyIncome[[#Totals],[SELLING OF TREES]]</f>
        <v>0</v>
      </c>
    </row>
    <row r="24" spans="1:4" ht="15.75" hidden="1" x14ac:dyDescent="0.25">
      <c r="A24" s="96" t="str">
        <f>WeeklyIncome[[#Headers],[BIBLE SOCIETY HARVEST]]</f>
        <v>BIBLE SOCIETY HARVEST</v>
      </c>
      <c r="B24" s="99"/>
      <c r="C24" s="99"/>
      <c r="D24" s="100">
        <f>WeeklyIncome[[#Totals],[BIBLE SOCIETY HARVEST]]</f>
        <v>0</v>
      </c>
    </row>
    <row r="25" spans="1:4" ht="15.75" x14ac:dyDescent="0.25">
      <c r="A25" s="96" t="str">
        <f>WeeklyIncome[[#Headers],[DONATIONS]]</f>
        <v>DONATIONS</v>
      </c>
      <c r="B25" s="99"/>
      <c r="C25" s="99"/>
      <c r="D25" s="100">
        <f>WeeklyIncome[[#Totals],[DONATIONS]]</f>
        <v>600</v>
      </c>
    </row>
    <row r="26" spans="1:4" ht="15.75" x14ac:dyDescent="0.25">
      <c r="A26" s="96" t="str">
        <f>WeeklyIncome[[#Headers],[FUND RAISING / SPECIAL HARVEST]]</f>
        <v>FUND RAISING / SPECIAL HARVEST</v>
      </c>
      <c r="B26" s="99"/>
      <c r="C26" s="99"/>
      <c r="D26" s="100">
        <v>4611</v>
      </c>
    </row>
    <row r="27" spans="1:4" ht="15.75" x14ac:dyDescent="0.25">
      <c r="A27" s="96" t="str">
        <f>WeeklyIncome[[#Headers],[ZONAL CONTRIBUTION]]</f>
        <v>ZONAL CONTRIBUTION</v>
      </c>
      <c r="B27" s="99"/>
      <c r="C27" s="99"/>
      <c r="D27" s="100">
        <f>WeeklyIncome[[#Totals],[ZONAL CONTRIBUTION]]</f>
        <v>237</v>
      </c>
    </row>
    <row r="28" spans="1:4" ht="15.75" x14ac:dyDescent="0.25">
      <c r="A28" s="96" t="str">
        <f>WeeklyIncome[[#Headers],[HOME COMING]]</f>
        <v>HOME COMING</v>
      </c>
      <c r="B28" s="99"/>
      <c r="C28" s="99"/>
      <c r="D28" s="100">
        <f>WeeklyIncome[[#Totals],[HOME COMING]]</f>
        <v>0</v>
      </c>
    </row>
    <row r="29" spans="1:4" ht="15.75" x14ac:dyDescent="0.25">
      <c r="A29" s="96" t="s">
        <v>121</v>
      </c>
      <c r="B29" s="99"/>
      <c r="C29" s="99"/>
      <c r="D29" s="100">
        <f>WeeklyIncome[[#Totals],[NURSERY]]</f>
        <v>0</v>
      </c>
    </row>
    <row r="30" spans="1:4" ht="15.75" x14ac:dyDescent="0.25">
      <c r="A30" s="96" t="str">
        <f>WeeklyIncome[[#Headers],[LORD''S SUPPER]]</f>
        <v>LORD'S SUPPER</v>
      </c>
      <c r="B30" s="99"/>
      <c r="C30" s="99"/>
      <c r="D30" s="100">
        <f>WeeklyIncome[[#Totals],[LORD''S SUPPER]]</f>
        <v>0</v>
      </c>
    </row>
    <row r="31" spans="1:4" ht="15.75" hidden="1" x14ac:dyDescent="0.25">
      <c r="A31" s="96" t="str">
        <f>WeeklyIncome[[#Headers],[AMM HARVEST]]</f>
        <v>AMM HARVEST</v>
      </c>
      <c r="B31" s="99"/>
      <c r="C31" s="99"/>
      <c r="D31" s="100">
        <f>WeeklyIncome[[#Totals],[AMM HARVEST]]</f>
        <v>0</v>
      </c>
    </row>
    <row r="32" spans="1:4" ht="15.75" hidden="1" x14ac:dyDescent="0.25">
      <c r="A32" s="96" t="str">
        <f>WeeklyIncome[[#Headers],[CHOIR]]</f>
        <v>CHOIR</v>
      </c>
      <c r="B32" s="129"/>
      <c r="C32" s="129"/>
      <c r="D32" s="100">
        <f>WeeklyIncome[[#Totals],[CHOIR]]</f>
        <v>0</v>
      </c>
    </row>
    <row r="33" spans="1:4" ht="15.75" hidden="1" x14ac:dyDescent="0.25">
      <c r="A33" s="96" t="str">
        <f>WeeklyIncome[[#Headers],[ANNUAL HARVEST]]</f>
        <v>ANNUAL HARVEST</v>
      </c>
      <c r="B33" s="99"/>
      <c r="C33" s="99"/>
      <c r="D33" s="100">
        <f>WeeklyIncome[[#Totals],[ANNUAL HARVEST]]</f>
        <v>0</v>
      </c>
    </row>
    <row r="34" spans="1:4" ht="15.75" x14ac:dyDescent="0.25">
      <c r="A34" s="96"/>
      <c r="B34" s="99"/>
      <c r="C34" s="99"/>
      <c r="D34" s="101">
        <f>SUM(D6:D33)</f>
        <v>29228.87</v>
      </c>
    </row>
    <row r="35" spans="1:4" ht="15.75" x14ac:dyDescent="0.25">
      <c r="A35" s="98" t="s">
        <v>67</v>
      </c>
      <c r="B35" s="99"/>
      <c r="C35" s="99"/>
      <c r="D35" s="96"/>
    </row>
    <row r="36" spans="1:4" ht="15.75" x14ac:dyDescent="0.25">
      <c r="A36" s="98" t="s">
        <v>22</v>
      </c>
      <c r="B36" s="99"/>
      <c r="C36" s="99">
        <f>SUM(B37:B44)</f>
        <v>2012</v>
      </c>
      <c r="D36" s="96"/>
    </row>
    <row r="37" spans="1:4" ht="15.75" x14ac:dyDescent="0.25">
      <c r="A37" s="102" t="s">
        <v>0</v>
      </c>
      <c r="B37" s="99">
        <f>D16</f>
        <v>1589</v>
      </c>
      <c r="C37" s="99"/>
      <c r="D37" s="96"/>
    </row>
    <row r="38" spans="1:4" ht="15.75" x14ac:dyDescent="0.25">
      <c r="A38" s="102" t="s">
        <v>1</v>
      </c>
      <c r="B38" s="99">
        <f>PRODUCT(D17*0.4)</f>
        <v>271.2</v>
      </c>
      <c r="C38" s="99"/>
      <c r="D38" s="96"/>
    </row>
    <row r="39" spans="1:4" ht="15.75" x14ac:dyDescent="0.25">
      <c r="A39" s="102" t="s">
        <v>2</v>
      </c>
      <c r="B39" s="99">
        <f>PRODUCT(D18*0.4)</f>
        <v>62</v>
      </c>
      <c r="C39" s="99"/>
      <c r="D39" s="96"/>
    </row>
    <row r="40" spans="1:4" ht="15.75" x14ac:dyDescent="0.25">
      <c r="A40" s="102" t="s">
        <v>3</v>
      </c>
      <c r="B40" s="99">
        <f>PRODUCT(D19*0.4)</f>
        <v>89.800000000000011</v>
      </c>
      <c r="C40" s="99"/>
      <c r="D40" s="96"/>
    </row>
    <row r="41" spans="1:4" ht="15.75" hidden="1" x14ac:dyDescent="0.25">
      <c r="A41" s="96" t="s">
        <v>68</v>
      </c>
      <c r="B41" s="99">
        <v>0</v>
      </c>
      <c r="C41" s="99"/>
      <c r="D41" s="96"/>
    </row>
    <row r="42" spans="1:4" ht="15.75" hidden="1" x14ac:dyDescent="0.25">
      <c r="A42" s="96" t="s">
        <v>6</v>
      </c>
      <c r="B42" s="99">
        <f>D33*0.1</f>
        <v>0</v>
      </c>
      <c r="C42" s="99"/>
      <c r="D42" s="96"/>
    </row>
    <row r="43" spans="1:4" ht="15.75" x14ac:dyDescent="0.25">
      <c r="A43" s="96" t="str">
        <f>WeeklyExpenditure[[#Headers],[CONFERENCE FUND]]</f>
        <v>CONFERENCE FUND</v>
      </c>
      <c r="B43" s="100">
        <f>WeeklyExpenditure[[#Totals],[CONFERENCE FUND]]</f>
        <v>0</v>
      </c>
      <c r="C43" s="99"/>
      <c r="D43" s="96"/>
    </row>
    <row r="44" spans="1:4" ht="15.75" hidden="1" x14ac:dyDescent="0.25">
      <c r="A44" s="102" t="s">
        <v>28</v>
      </c>
      <c r="B44" s="99">
        <f>D24/3</f>
        <v>0</v>
      </c>
      <c r="C44" s="99"/>
      <c r="D44" s="96"/>
    </row>
    <row r="45" spans="1:4" ht="15.75" x14ac:dyDescent="0.25">
      <c r="A45" s="98" t="s">
        <v>23</v>
      </c>
      <c r="B45" s="99"/>
      <c r="C45" s="99">
        <f>SUM(B46:B51)</f>
        <v>105.75</v>
      </c>
      <c r="D45" s="96"/>
    </row>
    <row r="46" spans="1:4" ht="15.75" x14ac:dyDescent="0.25">
      <c r="A46" s="102" t="s">
        <v>1</v>
      </c>
      <c r="B46" s="99">
        <f>PRODUCT(D17*0.1)</f>
        <v>67.8</v>
      </c>
      <c r="C46" s="99"/>
      <c r="D46" s="96"/>
    </row>
    <row r="47" spans="1:4" ht="15.75" x14ac:dyDescent="0.25">
      <c r="A47" s="102" t="s">
        <v>2</v>
      </c>
      <c r="B47" s="99">
        <f>PRODUCT(D18*0.1)</f>
        <v>15.5</v>
      </c>
      <c r="C47" s="99"/>
      <c r="D47" s="96"/>
    </row>
    <row r="48" spans="1:4" ht="15.75" x14ac:dyDescent="0.25">
      <c r="A48" s="102" t="s">
        <v>3</v>
      </c>
      <c r="B48" s="99">
        <f>PRODUCT(D19*0.1)</f>
        <v>22.450000000000003</v>
      </c>
      <c r="C48" s="99"/>
      <c r="D48" s="96"/>
    </row>
    <row r="49" spans="1:4" ht="15.75" hidden="1" x14ac:dyDescent="0.25">
      <c r="A49" s="102" t="s">
        <v>6</v>
      </c>
      <c r="B49" s="99">
        <f>D33*0.1</f>
        <v>0</v>
      </c>
      <c r="C49" s="99"/>
      <c r="D49" s="96"/>
    </row>
    <row r="50" spans="1:4" ht="15.75" hidden="1" x14ac:dyDescent="0.25">
      <c r="A50" s="96" t="str">
        <f>WeeklyExpenditure[[#Headers],[DISTRICT FUND]]</f>
        <v>DISTRICT FUND</v>
      </c>
      <c r="B50" s="100">
        <f>WeeklyExpenditure[[#Totals],[DISTRICT FUND]]</f>
        <v>0</v>
      </c>
      <c r="C50" s="99"/>
      <c r="D50" s="96"/>
    </row>
    <row r="51" spans="1:4" ht="15.75" hidden="1" x14ac:dyDescent="0.25">
      <c r="A51" s="102" t="s">
        <v>28</v>
      </c>
      <c r="B51" s="99">
        <f>PRODUCT(D24/3)</f>
        <v>0</v>
      </c>
      <c r="C51" s="99"/>
      <c r="D51" s="96"/>
    </row>
    <row r="52" spans="1:4" ht="15.75" x14ac:dyDescent="0.25">
      <c r="A52" s="96" t="str">
        <f>WeeklyExpenditure[[#Headers],[FOOD, WATER AND DRINKS]]</f>
        <v>FOOD, WATER AND DRINKS</v>
      </c>
      <c r="B52" s="99"/>
      <c r="C52" s="100">
        <f>WeeklyExpenditure[[#Totals],[FOOD, WATER AND DRINKS]]</f>
        <v>353</v>
      </c>
      <c r="D52" s="96"/>
    </row>
    <row r="53" spans="1:4" ht="15.75" hidden="1" x14ac:dyDescent="0.25">
      <c r="A53" s="96" t="str">
        <f>WeeklyExpenditure[[#Headers],[COVID 19  ITEMS]]</f>
        <v>COVID 19  ITEMS</v>
      </c>
      <c r="B53" s="99"/>
      <c r="C53" s="100">
        <f>WeeklyExpenditure[[#Totals],[COVID 19  ITEMS]]</f>
        <v>110</v>
      </c>
      <c r="D53" s="96"/>
    </row>
    <row r="54" spans="1:4" ht="15.75" x14ac:dyDescent="0.25">
      <c r="A54" s="96" t="str">
        <f>WeeklyExpenditure[[#Headers],[TRANSPORTATION]]</f>
        <v>TRANSPORTATION</v>
      </c>
      <c r="B54" s="99"/>
      <c r="C54" s="100">
        <f>WeeklyExpenditure[[#Totals],[TRANSPORTATION]]</f>
        <v>20</v>
      </c>
      <c r="D54" s="96"/>
    </row>
    <row r="55" spans="1:4" ht="15.75" x14ac:dyDescent="0.25">
      <c r="A55" s="96" t="str">
        <f>WeeklyExpenditure[[#Headers],[DONATION]]</f>
        <v>DONATION</v>
      </c>
      <c r="B55" s="99"/>
      <c r="C55" s="100">
        <f>WeeklyExpenditure[[#Totals],[DONATION]]</f>
        <v>150</v>
      </c>
      <c r="D55" s="96"/>
    </row>
    <row r="56" spans="1:4" ht="15.75" x14ac:dyDescent="0.25">
      <c r="A56" s="96" t="str">
        <f>WeeklyExpenditure[[#Headers],[PRINTING &amp; BOOKS]]</f>
        <v>PRINTING &amp; BOOKS</v>
      </c>
      <c r="B56" s="99"/>
      <c r="C56" s="100">
        <f>WeeklyExpenditure[[#Totals],[PRINTING &amp; BOOKS]]</f>
        <v>150</v>
      </c>
      <c r="D56" s="96"/>
    </row>
    <row r="57" spans="1:4" ht="15.75" hidden="1" x14ac:dyDescent="0.25">
      <c r="A57" s="96" t="str">
        <f>WeeklyExpenditure[[#Headers],[NURSERY]]</f>
        <v>NURSERY</v>
      </c>
      <c r="B57" s="99"/>
      <c r="C57" s="100">
        <f>WeeklyExpenditure[[#Totals],[NURSERY]]</f>
        <v>0</v>
      </c>
      <c r="D57" s="96"/>
    </row>
    <row r="58" spans="1:4" ht="15.75" x14ac:dyDescent="0.25">
      <c r="A58" s="96" t="str">
        <f>WeeklyExpenditure[[#Headers],[SABBATH SCHOOL]]</f>
        <v>SABBATH SCHOOL</v>
      </c>
      <c r="B58" s="99"/>
      <c r="C58" s="100">
        <f>WeeklyExpenditure[[#Totals],[SABBATH SCHOOL]]</f>
        <v>0</v>
      </c>
      <c r="D58" s="96"/>
    </row>
    <row r="59" spans="1:4" ht="15.75" hidden="1" x14ac:dyDescent="0.25">
      <c r="A59" s="96" t="str">
        <f>WeeklyExpenditure[[#Headers],[RENOVATION TEACHERS BUNGALOW]]</f>
        <v>RENOVATION TEACHERS BUNGALOW</v>
      </c>
      <c r="B59" s="99"/>
      <c r="C59" s="100">
        <f>WeeklyExpenditure[[#Totals],[RENOVATION TEACHERS BUNGALOW]]</f>
        <v>0</v>
      </c>
      <c r="D59" s="96"/>
    </row>
    <row r="60" spans="1:4" ht="15.75" hidden="1" x14ac:dyDescent="0.25">
      <c r="A60" s="96" t="str">
        <f>WeeklyExpenditure[[#Headers],[MECHANISED WATER PROJECT]]</f>
        <v>MECHANISED WATER PROJECT</v>
      </c>
      <c r="B60" s="99"/>
      <c r="C60" s="100">
        <f>WeeklyExpenditure[[#Totals],[MECHANISED WATER PROJECT]]</f>
        <v>0</v>
      </c>
      <c r="D60" s="96"/>
    </row>
    <row r="61" spans="1:4" ht="15.75" x14ac:dyDescent="0.25">
      <c r="A61" s="96" t="str">
        <f>WeeklyExpenditure[[#Headers],[WAGES (NURSERY)]]</f>
        <v>WAGES (NURSERY)</v>
      </c>
      <c r="B61" s="99"/>
      <c r="C61" s="100">
        <f>WeeklyExpenditure[[#Totals],[WAGES (NURSERY)]]</f>
        <v>0</v>
      </c>
      <c r="D61" s="96"/>
    </row>
    <row r="62" spans="1:4" ht="15.75" hidden="1" x14ac:dyDescent="0.25">
      <c r="A62" s="96" t="str">
        <f>WeeklyExpenditure[[#Headers],[BEAUTIFICATION OF CHURCH &amp; SCHOOL COMPOUND]]</f>
        <v>BEAUTIFICATION OF CHURCH &amp; SCHOOL COMPOUND</v>
      </c>
      <c r="B62" s="99"/>
      <c r="C62" s="100">
        <f>WeeklyExpenditure[[#Totals],[BEAUTIFICATION OF CHURCH &amp; SCHOOL COMPOUND]]</f>
        <v>0</v>
      </c>
      <c r="D62" s="96"/>
    </row>
    <row r="63" spans="1:4" ht="15.75" hidden="1" x14ac:dyDescent="0.25">
      <c r="A63" s="96" t="str">
        <f>WeeklyExpenditure[[#Headers],[AYS (T&amp;T, Others)]]</f>
        <v>AYS (T&amp;T, Others)</v>
      </c>
      <c r="B63" s="99"/>
      <c r="C63" s="100">
        <f>WeeklyExpenditure[[#Totals],[AYS (T&amp;T, Others)]]</f>
        <v>0</v>
      </c>
      <c r="D63" s="96"/>
    </row>
    <row r="64" spans="1:4" ht="15.75" hidden="1" x14ac:dyDescent="0.25">
      <c r="A64" s="96" t="str">
        <f>WeeklyExpenditure[[#Headers],[CHOIR (T&amp;T, Others]]</f>
        <v>CHOIR (T&amp;T, Others</v>
      </c>
      <c r="B64" s="99"/>
      <c r="C64" s="100">
        <f>WeeklyExpenditure[[#Totals],[CHOIR (T&amp;T, Others]]</f>
        <v>0</v>
      </c>
      <c r="D64" s="96"/>
    </row>
    <row r="65" spans="1:4" ht="15.75" x14ac:dyDescent="0.25">
      <c r="A65" s="96" t="str">
        <f>WeeklyExpenditure[[#Headers],[SINGING BAND (T&amp;T, Others)]]</f>
        <v>SINGING BAND (T&amp;T, Others)</v>
      </c>
      <c r="B65" s="99"/>
      <c r="C65" s="100">
        <f>WeeklyExpenditure[[#Totals],[SINGING BAND (T&amp;T, Others)]]</f>
        <v>0</v>
      </c>
      <c r="D65" s="96"/>
    </row>
    <row r="66" spans="1:4" ht="15.75" x14ac:dyDescent="0.25">
      <c r="A66" s="96" t="str">
        <f>WeeklyExpenditure[[#Headers],[AMM (T&amp;T, Others)]]</f>
        <v>AMM (T&amp;T, Others)</v>
      </c>
      <c r="B66" s="99"/>
      <c r="C66" s="100">
        <f>WeeklyExpenditure[[#Totals],[AMM (T&amp;T, Others)]]</f>
        <v>0</v>
      </c>
      <c r="D66" s="96"/>
    </row>
    <row r="67" spans="1:4" ht="15.75" hidden="1" x14ac:dyDescent="0.25">
      <c r="A67" s="96" t="str">
        <f>WeeklyExpenditure[[#Headers],[WOMEN MINSTRY (T&amp;T, Others]]</f>
        <v>WOMEN MINSTRY (T&amp;T, Others</v>
      </c>
      <c r="B67" s="99"/>
      <c r="C67" s="100">
        <f>WeeklyExpenditure[[#Totals],[WOMEN MINSTRY (T&amp;T, Others]]</f>
        <v>110</v>
      </c>
      <c r="D67" s="96"/>
    </row>
    <row r="68" spans="1:4" ht="15.75" x14ac:dyDescent="0.25">
      <c r="A68" s="98" t="s">
        <v>69</v>
      </c>
      <c r="B68" s="96"/>
      <c r="C68" s="99">
        <f>SUM(B69:B70)</f>
        <v>1418</v>
      </c>
      <c r="D68" s="96"/>
    </row>
    <row r="69" spans="1:4" ht="15.75" x14ac:dyDescent="0.25">
      <c r="A69" s="96" t="str">
        <f>WeeklyExpenditure[[#Headers],[WELFARE FUNERAL DONATIONS]]</f>
        <v>WELFARE FUNERAL DONATIONS</v>
      </c>
      <c r="B69" s="100">
        <f>WeeklyExpenditure[[#Totals],[WELFARE FUNERAL DONATIONS]]</f>
        <v>1368</v>
      </c>
      <c r="C69" s="99"/>
      <c r="D69" s="96"/>
    </row>
    <row r="70" spans="1:4" ht="15.75" x14ac:dyDescent="0.25">
      <c r="A70" s="96" t="str">
        <f>WeeklyExpenditure[[#Headers],[WELFARE OTHER DONATIONS (MARRIAGE, ETC)]]</f>
        <v>WELFARE OTHER DONATIONS (MARRIAGE, ETC)</v>
      </c>
      <c r="B70" s="100">
        <f>WeeklyExpenditure[[#Totals],[WELFARE OTHER DONATIONS (MARRIAGE, ETC)]]</f>
        <v>50</v>
      </c>
      <c r="C70" s="99"/>
      <c r="D70" s="96"/>
    </row>
    <row r="71" spans="1:4" ht="15.75" x14ac:dyDescent="0.25">
      <c r="A71" s="96" t="str">
        <f>WeeklyExpenditure[[#Headers],[PROJECTOR]]</f>
        <v>PROJECTOR</v>
      </c>
      <c r="B71" s="100"/>
      <c r="C71" s="100">
        <f>WeeklyExpenditure[[#Totals],[PROJECTOR]]</f>
        <v>0</v>
      </c>
      <c r="D71" s="96"/>
    </row>
    <row r="72" spans="1:4" ht="15.75" x14ac:dyDescent="0.25">
      <c r="A72" s="96" t="str">
        <f>WeeklyExpenditure[[#Headers],[MAITENANCE / REPAIRS]]</f>
        <v>MAITENANCE / REPAIRS</v>
      </c>
      <c r="B72" s="99"/>
      <c r="C72" s="100">
        <f>WeeklyExpenditure[[#Totals],[MAITENANCE / REPAIRS]]</f>
        <v>0</v>
      </c>
      <c r="D72" s="96"/>
    </row>
    <row r="73" spans="1:4" ht="15.75" hidden="1" x14ac:dyDescent="0.25">
      <c r="A73" s="96" t="str">
        <f>WeeklyExpenditure[[#Headers],[LORD''S SUPPER]]</f>
        <v>LORD'S SUPPER</v>
      </c>
      <c r="B73" s="99"/>
      <c r="C73" s="100">
        <f>WeeklyExpenditure[[#Totals],[LORD''S SUPPER]]</f>
        <v>0</v>
      </c>
      <c r="D73" s="96"/>
    </row>
    <row r="74" spans="1:4" ht="15.75" hidden="1" x14ac:dyDescent="0.25">
      <c r="A74" s="96" t="str">
        <f>WeeklyExpenditure[[#Headers],[LOAN (REPAYMENT]]</f>
        <v>LOAN (REPAYMENT</v>
      </c>
      <c r="B74" s="99"/>
      <c r="C74" s="100">
        <f>WeeklyExpenditure[[#Totals],[LOAN (REPAYMENT]]</f>
        <v>0</v>
      </c>
      <c r="D74" s="96"/>
    </row>
    <row r="75" spans="1:4" ht="15.75" x14ac:dyDescent="0.25">
      <c r="A75" s="96" t="str">
        <f>WeeklyExpenditure[[#Headers],[WASHROOM PROJECT]]</f>
        <v>WASHROOM PROJECT</v>
      </c>
      <c r="B75" s="99"/>
      <c r="C75" s="100">
        <f>WeeklyExpenditure[[#Totals],[WASHROOM PROJECT]]</f>
        <v>0</v>
      </c>
      <c r="D75" s="96"/>
    </row>
    <row r="76" spans="1:4" ht="15.75" x14ac:dyDescent="0.25">
      <c r="A76" s="96" t="str">
        <f>WeeklyExpenditure[[#Headers],[HARVEST EXPENDITURE]]</f>
        <v>HARVEST EXPENDITURE</v>
      </c>
      <c r="B76" s="99"/>
      <c r="C76" s="100">
        <f>WeeklyExpenditure[[#Totals],[HARVEST EXPENDITURE]]</f>
        <v>0</v>
      </c>
      <c r="D76" s="96"/>
    </row>
    <row r="77" spans="1:4" ht="15.75" x14ac:dyDescent="0.25">
      <c r="A77" s="96" t="str">
        <f>WeeklyExpenditure[[#Headers],[ELECTRICITY]]</f>
        <v>ELECTRICITY</v>
      </c>
      <c r="B77" s="99"/>
      <c r="C77" s="100">
        <f>WeeklyExpenditure[[#Totals],[ELECTRICITY]]</f>
        <v>0</v>
      </c>
      <c r="D77" s="96"/>
    </row>
    <row r="78" spans="1:4" ht="15.75" hidden="1" x14ac:dyDescent="0.25">
      <c r="A78" s="96" t="s">
        <v>83</v>
      </c>
      <c r="B78" s="99"/>
      <c r="C78" s="100">
        <v>0</v>
      </c>
      <c r="D78" s="96"/>
    </row>
    <row r="79" spans="1:4" ht="15.75" hidden="1" x14ac:dyDescent="0.25">
      <c r="A79" s="96" t="str">
        <f>WeeklyExpenditure[[#Headers],[POST  OFFICE]]</f>
        <v>POST  OFFICE</v>
      </c>
      <c r="B79" s="99"/>
      <c r="C79" s="100">
        <f>WeeklyExpenditure[[#Totals],[POST  OFFICE]]</f>
        <v>0</v>
      </c>
      <c r="D79" s="96"/>
    </row>
    <row r="80" spans="1:4" ht="15.75" hidden="1" x14ac:dyDescent="0.25">
      <c r="A80" s="96" t="str">
        <f>WeeklyExpenditure[[#Headers],[CARE FOR THE AGED &amp; SICK]]</f>
        <v>CARE FOR THE AGED &amp; SICK</v>
      </c>
      <c r="B80" s="99"/>
      <c r="C80" s="100">
        <f>WeeklyExpenditure[[#Totals],[CARE FOR THE AGED &amp; SICK]]</f>
        <v>0</v>
      </c>
      <c r="D80" s="96"/>
    </row>
    <row r="81" spans="1:4" ht="15.75" x14ac:dyDescent="0.25">
      <c r="A81" s="103" t="str">
        <f>WeeklyExpenditure[[#Headers],[MISCELLANEOUS (Soap, Washing Powder, Others)]]</f>
        <v>MISCELLANEOUS (Soap, Washing Powder, Others)</v>
      </c>
      <c r="B81" s="99"/>
      <c r="C81" s="100">
        <f>WeeklyExpenditure[[#Totals],[MISCELLANEOUS (Soap, Washing Powder, Others)]]</f>
        <v>105</v>
      </c>
      <c r="D81" s="96"/>
    </row>
    <row r="82" spans="1:4" ht="18" x14ac:dyDescent="0.4">
      <c r="A82" s="96"/>
      <c r="B82" s="99"/>
      <c r="C82" s="99"/>
      <c r="D82" s="104">
        <f>SUM(C36,C45,C52:C68,C71:C82)</f>
        <v>4533.75</v>
      </c>
    </row>
    <row r="83" spans="1:4" ht="18" x14ac:dyDescent="0.4">
      <c r="A83" s="98" t="str">
        <f>IF(D34&gt;D82,"SURPLUS",IF(D34=D82,"BREAKEVEN",IF(D34&lt;D82,"DEFICIT","")))</f>
        <v>SURPLUS</v>
      </c>
      <c r="B83" s="99"/>
      <c r="C83" s="99"/>
      <c r="D83" s="105">
        <f>SUM(D34-D82)</f>
        <v>24695.119999999999</v>
      </c>
    </row>
    <row r="84" spans="1:4" x14ac:dyDescent="0.25">
      <c r="A84" s="285" t="s">
        <v>70</v>
      </c>
      <c r="B84" s="285"/>
      <c r="C84" s="285"/>
      <c r="D84" s="285"/>
    </row>
    <row r="85" spans="1:4" x14ac:dyDescent="0.25">
      <c r="A85" s="285"/>
      <c r="B85" s="285"/>
      <c r="C85" s="285"/>
      <c r="D85" s="285"/>
    </row>
    <row r="86" spans="1:4" ht="18.75" x14ac:dyDescent="0.3">
      <c r="A86" s="94" t="s">
        <v>71</v>
      </c>
      <c r="B86" s="107"/>
      <c r="C86" s="93"/>
      <c r="D86" s="108">
        <v>0</v>
      </c>
    </row>
    <row r="87" spans="1:4" ht="18.75" x14ac:dyDescent="0.3">
      <c r="A87" s="94" t="s">
        <v>72</v>
      </c>
      <c r="B87" s="92"/>
      <c r="C87" s="92"/>
      <c r="D87" s="95">
        <f>SUM(C88:C89)</f>
        <v>4399.32</v>
      </c>
    </row>
    <row r="88" spans="1:4" ht="18.75" x14ac:dyDescent="0.3">
      <c r="A88" s="92">
        <v>1</v>
      </c>
      <c r="B88" s="92" t="s">
        <v>73</v>
      </c>
      <c r="C88" s="95">
        <v>2521.6</v>
      </c>
      <c r="D88" s="95"/>
    </row>
    <row r="89" spans="1:4" ht="21" x14ac:dyDescent="0.45">
      <c r="A89" s="92">
        <v>2</v>
      </c>
      <c r="B89" s="92" t="s">
        <v>74</v>
      </c>
      <c r="C89" s="109">
        <v>1877.72</v>
      </c>
      <c r="D89" s="95"/>
    </row>
    <row r="90" spans="1:4" ht="18" x14ac:dyDescent="0.25">
      <c r="A90" s="110" t="s">
        <v>75</v>
      </c>
      <c r="B90" s="111"/>
      <c r="C90" s="112"/>
      <c r="D90" s="113">
        <f>SUM(HerritageFunds[AMOUNT])</f>
        <v>4800</v>
      </c>
    </row>
    <row r="91" spans="1:4" ht="23.25" x14ac:dyDescent="0.5">
      <c r="A91" s="101"/>
      <c r="B91" s="101"/>
      <c r="C91" s="114"/>
      <c r="D91" s="106">
        <f>SUM(D86:D90)</f>
        <v>9199.32</v>
      </c>
    </row>
    <row r="92" spans="1:4" ht="15.75" x14ac:dyDescent="0.25">
      <c r="A92" s="115" t="s">
        <v>76</v>
      </c>
      <c r="B92" s="115"/>
      <c r="C92" s="115" t="s">
        <v>77</v>
      </c>
      <c r="D92" s="115"/>
    </row>
    <row r="93" spans="1:4" ht="15.75" x14ac:dyDescent="0.25">
      <c r="A93" s="115" t="s">
        <v>78</v>
      </c>
      <c r="B93" s="115"/>
      <c r="C93" s="115" t="s">
        <v>79</v>
      </c>
      <c r="D93" s="115"/>
    </row>
    <row r="97" spans="2:2" x14ac:dyDescent="0.25">
      <c r="B97" s="128"/>
    </row>
  </sheetData>
  <mergeCells count="4">
    <mergeCell ref="A1:D1"/>
    <mergeCell ref="A2:D2"/>
    <mergeCell ref="A3:D3"/>
    <mergeCell ref="A84:D85"/>
  </mergeCells>
  <conditionalFormatting sqref="A83">
    <cfRule type="expression" dxfId="21" priority="1">
      <formula>$D$83&lt;0</formula>
    </cfRule>
    <cfRule type="expression" dxfId="20" priority="2">
      <formula>$D$83&gt;0</formula>
    </cfRule>
  </conditionalFormatting>
  <pageMargins left="0.7" right="0.7" top="0.75" bottom="0.75" header="0.3" footer="0.3"/>
  <pageSetup paperSize="9" scale="65" fitToHeight="0"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WEEKLY SUMMARY</vt:lpstr>
      <vt:lpstr>INCOME</vt:lpstr>
      <vt:lpstr>EXPENDITURE</vt:lpstr>
      <vt:lpstr>NEW ACCOUNT</vt:lpstr>
      <vt:lpstr>RECEIPT NUMBERS</vt:lpstr>
      <vt:lpstr>NEW WEEKLY</vt:lpstr>
      <vt:lpstr>HERITAGE</vt:lpstr>
      <vt:lpstr>MANUAL</vt:lpstr>
      <vt:lpstr>PRINT WEEKLY</vt:lpstr>
      <vt:lpstr>OLD -INCOME &amp; EXPENDITURE</vt:lpstr>
      <vt:lpstr>GENERAL ACCOUNT</vt:lpstr>
      <vt:lpstr>'NEW WEEKLY'!EXPENDITURE</vt:lpstr>
      <vt:lpstr>EXPENDITURE</vt:lpstr>
      <vt:lpstr>'NEW WEEKLY'!INCOME</vt:lpstr>
      <vt:lpstr>INCOME</vt:lpstr>
      <vt:lpstr>'NEW ACCOUNT'!Print_Area</vt:lpstr>
      <vt:lpstr>'NEW WEEKLY'!Print_Area</vt:lpstr>
      <vt:lpstr>'NEW ACCOUNT'!Print_Titles</vt:lpstr>
      <vt:lpstr>'NEW WEEKLY'!Print_Titles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eaa</dc:creator>
  <cp:lastModifiedBy>eaa</cp:lastModifiedBy>
  <cp:lastPrinted>2024-04-16T08:50:02Z</cp:lastPrinted>
  <dcterms:created xsi:type="dcterms:W3CDTF">2022-01-07T19:12:28Z</dcterms:created>
  <dcterms:modified xsi:type="dcterms:W3CDTF">2024-08-12T07:19:36Z</dcterms:modified>
</cp:coreProperties>
</file>